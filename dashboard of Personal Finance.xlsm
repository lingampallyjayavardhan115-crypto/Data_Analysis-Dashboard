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JAYAVARDHAN\Downloads\"/>
    </mc:Choice>
  </mc:AlternateContent>
  <xr:revisionPtr revIDLastSave="0" documentId="13_ncr:1_{AF01CF61-0916-41DA-A4C5-D4D6804EE0AC}" xr6:coauthVersionLast="47" xr6:coauthVersionMax="47" xr10:uidLastSave="{00000000-0000-0000-0000-000000000000}"/>
  <bookViews>
    <workbookView xWindow="0" yWindow="360" windowWidth="23256" windowHeight="12456" activeTab="1" xr2:uid="{F1C7D256-588E-4179-96FC-0F354ABDDF03}"/>
  </bookViews>
  <sheets>
    <sheet name="Sheet1" sheetId="5" r:id="rId1"/>
    <sheet name="DASHBOARD" sheetId="2" r:id="rId2"/>
    <sheet name="Raw data" sheetId="1" r:id="rId3"/>
  </sheets>
  <definedNames>
    <definedName name="_xlnm._FilterDatabase" localSheetId="2" hidden="1">'Raw data'!$A$1:$J$248</definedName>
    <definedName name="Slicer_Category">#N/A</definedName>
  </definedNames>
  <calcPr calcId="191029"/>
  <pivotCaches>
    <pivotCache cacheId="14" r:id="rId4"/>
    <pivotCache cacheId="9"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sharedStrings.xml><?xml version="1.0" encoding="utf-8"?>
<sst xmlns="http://schemas.openxmlformats.org/spreadsheetml/2006/main" count="1771" uniqueCount="326">
  <si>
    <t>Transaction ID</t>
  </si>
  <si>
    <t>Date</t>
  </si>
  <si>
    <t>Account</t>
  </si>
  <si>
    <t>Type</t>
  </si>
  <si>
    <t>Category</t>
  </si>
  <si>
    <t>Description / Merchant</t>
  </si>
  <si>
    <t>Amount</t>
  </si>
  <si>
    <t>Payment Method</t>
  </si>
  <si>
    <t>Is Recurring</t>
  </si>
  <si>
    <t>Running Balance</t>
  </si>
  <si>
    <t>TXN-20001</t>
  </si>
  <si>
    <t>Checking</t>
  </si>
  <si>
    <t>Income</t>
  </si>
  <si>
    <t>Salary</t>
  </si>
  <si>
    <t>Employer Direct Deposit</t>
  </si>
  <si>
    <t>Direct Deposit</t>
  </si>
  <si>
    <t>Yes</t>
  </si>
  <si>
    <t>TXN-20002</t>
  </si>
  <si>
    <t>Expense</t>
  </si>
  <si>
    <t>Rent</t>
  </si>
  <si>
    <t>Apartment Complex</t>
  </si>
  <si>
    <t>Auto-Pay</t>
  </si>
  <si>
    <t>TXN-20003</t>
  </si>
  <si>
    <t>Dining</t>
  </si>
  <si>
    <t>Sushi Palace</t>
  </si>
  <si>
    <t>Cash</t>
  </si>
  <si>
    <t>No</t>
  </si>
  <si>
    <t>TXN-20004</t>
  </si>
  <si>
    <t>Groceries</t>
  </si>
  <si>
    <t>Walmart Grocery</t>
  </si>
  <si>
    <t>Credit</t>
  </si>
  <si>
    <t>TXN-20005</t>
  </si>
  <si>
    <t>McDonald's</t>
  </si>
  <si>
    <t>TXN-20006</t>
  </si>
  <si>
    <t>Debit</t>
  </si>
  <si>
    <t>TXN-20007</t>
  </si>
  <si>
    <t>Credit Card</t>
  </si>
  <si>
    <t>Olive Garden</t>
  </si>
  <si>
    <t>TXN-20008</t>
  </si>
  <si>
    <t>Entertainment</t>
  </si>
  <si>
    <t>Netflix</t>
  </si>
  <si>
    <t>TXN-20009</t>
  </si>
  <si>
    <t>TXN-20010</t>
  </si>
  <si>
    <t>Utilities</t>
  </si>
  <si>
    <t>Cell Phone Bill</t>
  </si>
  <si>
    <t>TXN-20011</t>
  </si>
  <si>
    <t>TXN-20012</t>
  </si>
  <si>
    <t>Transport</t>
  </si>
  <si>
    <t>Uber</t>
  </si>
  <si>
    <t>TXN-20013</t>
  </si>
  <si>
    <t>Gas Company</t>
  </si>
  <si>
    <t>TXN-20014</t>
  </si>
  <si>
    <t>Trader Joe's</t>
  </si>
  <si>
    <t>TXN-20015</t>
  </si>
  <si>
    <t>Uber Eats</t>
  </si>
  <si>
    <t>TXN-20016</t>
  </si>
  <si>
    <t>EZ Pass Toll</t>
  </si>
  <si>
    <t>TXN-20017</t>
  </si>
  <si>
    <t>Whole Foods</t>
  </si>
  <si>
    <t>TXN-20018</t>
  </si>
  <si>
    <t>BP Gas</t>
  </si>
  <si>
    <t>TXN-20019</t>
  </si>
  <si>
    <t>TXN-20020</t>
  </si>
  <si>
    <t>TXN-20021</t>
  </si>
  <si>
    <t>Concert Tickets</t>
  </si>
  <si>
    <t>TXN-20022</t>
  </si>
  <si>
    <t>TXN-20023</t>
  </si>
  <si>
    <t>TXN-20024</t>
  </si>
  <si>
    <t>TXN-20025</t>
  </si>
  <si>
    <t>Shell Gas</t>
  </si>
  <si>
    <t>TXN-20026</t>
  </si>
  <si>
    <t>TXN-20027</t>
  </si>
  <si>
    <t>TXN-20028</t>
  </si>
  <si>
    <t>TXN-20029</t>
  </si>
  <si>
    <t>Costco</t>
  </si>
  <si>
    <t>TXN-20030</t>
  </si>
  <si>
    <t>Panera Bread</t>
  </si>
  <si>
    <t>TXN-20031</t>
  </si>
  <si>
    <t>TXN-20032</t>
  </si>
  <si>
    <t>Kroger</t>
  </si>
  <si>
    <t>TXN-20033</t>
  </si>
  <si>
    <t>TXN-20034</t>
  </si>
  <si>
    <t>Metro Transit</t>
  </si>
  <si>
    <t>TXN-20035</t>
  </si>
  <si>
    <t>TXN-20036</t>
  </si>
  <si>
    <t>TXN-20037</t>
  </si>
  <si>
    <t>TXN-20038</t>
  </si>
  <si>
    <t>Chipotle</t>
  </si>
  <si>
    <t>TXN-20039</t>
  </si>
  <si>
    <t>AMC Theaters</t>
  </si>
  <si>
    <t>TXN-20040</t>
  </si>
  <si>
    <t>Lyft</t>
  </si>
  <si>
    <t>TXN-20041</t>
  </si>
  <si>
    <t>TXN-20042</t>
  </si>
  <si>
    <t>TXN-20043</t>
  </si>
  <si>
    <t>TXN-20044</t>
  </si>
  <si>
    <t>Property Management LLC</t>
  </si>
  <si>
    <t>TXN-20045</t>
  </si>
  <si>
    <t>DoorDash</t>
  </si>
  <si>
    <t>TXN-20046</t>
  </si>
  <si>
    <t>TXN-20047</t>
  </si>
  <si>
    <t>TXN-20048</t>
  </si>
  <si>
    <t>TXN-20049</t>
  </si>
  <si>
    <t>Electric Company</t>
  </si>
  <si>
    <t>TXN-20050</t>
  </si>
  <si>
    <t>TXN-20051</t>
  </si>
  <si>
    <t>Parking Garage</t>
  </si>
  <si>
    <t>TXN-20052</t>
  </si>
  <si>
    <t>Freelance</t>
  </si>
  <si>
    <t>Upwork Transfer</t>
  </si>
  <si>
    <t>Transfer</t>
  </si>
  <si>
    <t>TXN-20053</t>
  </si>
  <si>
    <t>TXN-20054</t>
  </si>
  <si>
    <t>TXN-20055</t>
  </si>
  <si>
    <t>Safeway</t>
  </si>
  <si>
    <t>TXN-20056</t>
  </si>
  <si>
    <t>TXN-20057</t>
  </si>
  <si>
    <t>Aldi</t>
  </si>
  <si>
    <t>TXN-20058</t>
  </si>
  <si>
    <t>TXN-20059</t>
  </si>
  <si>
    <t>TXN-20060</t>
  </si>
  <si>
    <t>TXN-20061</t>
  </si>
  <si>
    <t>TXN-20062</t>
  </si>
  <si>
    <t>TXN-20063</t>
  </si>
  <si>
    <t>Local Bistro</t>
  </si>
  <si>
    <t>TXN-20064</t>
  </si>
  <si>
    <t>Savings</t>
  </si>
  <si>
    <t>Fiverr Earnings</t>
  </si>
  <si>
    <t>TXN-20065</t>
  </si>
  <si>
    <t>TXN-20066</t>
  </si>
  <si>
    <t>TXN-20067</t>
  </si>
  <si>
    <t>TXN-20068</t>
  </si>
  <si>
    <t>TXN-20069</t>
  </si>
  <si>
    <t>TXN-20070</t>
  </si>
  <si>
    <t>TXN-20071</t>
  </si>
  <si>
    <t>Starbucks</t>
  </si>
  <si>
    <t>TXN-20072</t>
  </si>
  <si>
    <t>TXN-20073</t>
  </si>
  <si>
    <t>TXN-20074</t>
  </si>
  <si>
    <t>TXN-20075</t>
  </si>
  <si>
    <t>TXN-20076</t>
  </si>
  <si>
    <t>TXN-20077</t>
  </si>
  <si>
    <t>TXN-20078</t>
  </si>
  <si>
    <t>TXN-20079</t>
  </si>
  <si>
    <t>TXN-20080</t>
  </si>
  <si>
    <t>TXN-20081</t>
  </si>
  <si>
    <t>TXN-20082</t>
  </si>
  <si>
    <t>TXN-20083</t>
  </si>
  <si>
    <t>TXN-20084</t>
  </si>
  <si>
    <t>TXN-20085</t>
  </si>
  <si>
    <t>TXN-20086</t>
  </si>
  <si>
    <t>Water Utility</t>
  </si>
  <si>
    <t>TXN-20087</t>
  </si>
  <si>
    <t>TXN-20088</t>
  </si>
  <si>
    <t>TXN-20089</t>
  </si>
  <si>
    <t>TXN-20090</t>
  </si>
  <si>
    <t>Kindle Store</t>
  </si>
  <si>
    <t>TXN-20091</t>
  </si>
  <si>
    <t>TXN-20092</t>
  </si>
  <si>
    <t>TXN-20093</t>
  </si>
  <si>
    <t>TXN-20094</t>
  </si>
  <si>
    <t>TXN-20095</t>
  </si>
  <si>
    <t>TXN-20096</t>
  </si>
  <si>
    <t>TXN-20097</t>
  </si>
  <si>
    <t>TXN-20098</t>
  </si>
  <si>
    <t>TXN-20099</t>
  </si>
  <si>
    <t>TXN-20100</t>
  </si>
  <si>
    <t>TXN-20101</t>
  </si>
  <si>
    <t>TXN-20102</t>
  </si>
  <si>
    <t>TXN-20103</t>
  </si>
  <si>
    <t>Bowling Alley</t>
  </si>
  <si>
    <t>TXN-20104</t>
  </si>
  <si>
    <t>TXN-20105</t>
  </si>
  <si>
    <t>TXN-20106</t>
  </si>
  <si>
    <t>TXN-20107</t>
  </si>
  <si>
    <t>TXN-20108</t>
  </si>
  <si>
    <t>TXN-20109</t>
  </si>
  <si>
    <t>TXN-20110</t>
  </si>
  <si>
    <t>TXN-20111</t>
  </si>
  <si>
    <t>Steam Games</t>
  </si>
  <si>
    <t>TXN-20112</t>
  </si>
  <si>
    <t>TXN-20113</t>
  </si>
  <si>
    <t>TXN-20114</t>
  </si>
  <si>
    <t>Check</t>
  </si>
  <si>
    <t>TXN-20115</t>
  </si>
  <si>
    <t>TXN-20116</t>
  </si>
  <si>
    <t>Spotify</t>
  </si>
  <si>
    <t>TXN-20117</t>
  </si>
  <si>
    <t>TXN-20118</t>
  </si>
  <si>
    <t>TXN-20119</t>
  </si>
  <si>
    <t>TXN-20120</t>
  </si>
  <si>
    <t>Landlord Payment</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</si>
  <si>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</si>
  <si>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</si>
  <si>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</si>
  <si>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</si>
  <si>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</si>
  <si>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</si>
  <si>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</si>
  <si>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</si>
  <si>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</si>
  <si>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</si>
  <si>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</si>
  <si>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</si>
  <si>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</si>
  <si>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</si>
  <si>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</si>
  <si>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</si>
  <si>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</si>
  <si>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</si>
  <si>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</si>
  <si>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</si>
  <si>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</si>
  <si>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</si>
  <si>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</si>
  <si>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</si>
  <si>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</si>
  <si>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</si>
  <si>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</si>
  <si>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</si>
  <si>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</si>
  <si>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Company Payroll</t>
  </si>
  <si>
    <t>Internet Provider</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</si>
  <si>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</si>
  <si>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</si>
  <si>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</si>
  <si>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</si>
  <si>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</si>
  <si>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</si>
  <si>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</si>
  <si>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</si>
  <si>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</si>
  <si>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</si>
  <si>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</si>
  <si>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</si>
  <si>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</si>
  <si>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</si>
  <si>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</si>
  <si>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</si>
  <si>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</si>
  <si>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</si>
  <si>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</si>
  <si>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</si>
  <si>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</si>
  <si>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</si>
  <si>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</si>
  <si>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</si>
  <si>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</si>
  <si>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</si>
  <si>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</si>
  <si>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</si>
  <si>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</si>
  <si>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</si>
  <si>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</si>
  <si>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</si>
  <si>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</si>
  <si>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</si>
  <si>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</si>
  <si>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</si>
  <si>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</si>
  <si>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</si>
  <si>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</si>
  <si>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</si>
  <si>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</si>
  <si>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</si>
  <si>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</si>
  <si>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</si>
  <si>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</si>
  <si>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</si>
  <si>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</si>
  <si>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</si>
  <si>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</si>
  <si>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</si>
  <si>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</si>
  <si>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</si>
  <si>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</si>
  <si>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</si>
  <si>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</si>
  <si>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</si>
  <si>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</si>
  <si>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</si>
  <si>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</si>
  <si>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</si>
  <si>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</si>
  <si>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</si>
  <si>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</si>
  <si>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</si>
  <si>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</si>
  <si>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</si>
  <si>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</si>
  <si>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</si>
  <si>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</si>
  <si>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</si>
  <si>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</si>
  <si>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</si>
  <si>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</si>
  <si>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</si>
  <si>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</si>
  <si>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</si>
  <si>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</si>
  <si>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</si>
  <si>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</si>
  <si>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</si>
  <si>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</si>
  <si>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</si>
  <si>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</si>
  <si>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</si>
  <si>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</si>
  <si>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</si>
  <si>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</si>
  <si>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</si>
  <si>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</si>
  <si>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</si>
  <si>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</si>
  <si>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</si>
  <si>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</si>
  <si>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</si>
  <si>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</si>
  <si>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</si>
  <si>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</si>
  <si>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</si>
  <si>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Grand Total</t>
  </si>
  <si>
    <t>Top 5 Amount</t>
  </si>
  <si>
    <t>Bottom 5 Amount</t>
  </si>
  <si>
    <t>Sum of TOP 5 Running Balance</t>
  </si>
  <si>
    <t>Sum of Bottom 5 Running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</si>
</sst>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mm/dd/yyyy"/>
    <numFmt numFmtId="165" formatCode="&quot;$&quot;#,##0.00"/>
    <numFmt numFmtId="166" formatCode="&quot;₹&quot;\ #,##0.00"/>
  </numFmts>
  <fonts count="2" x14ac:knownFonts="1">
    <font>
      <sz val="11"/>
      <color theme="1"/>
      <name val="Aptos Narrow"/>
      <family val="2"/>
      <scheme val="minor"/>
    </font>
    <font>
      <b/>
      <sz val="11"/>
      <color rgb="FFFFFFFF"/>
      <name val="Aptos Narrow"/>
      <family val="2"/>
      <scheme val="minor"/>
    </font>
  </fonts>
  <fills count="4">
    <fill>
      <patternFill patternType="none"/>
    </fill>
    <fill>
      <patternFill patternType="gray125"/>
    </fill>
    <fill>
      <patternFill patternType="solid">
        <fgColor rgb="FF4472C4"/>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9">
    <xf numFmtId="0" fontId="0" fillId="0" borderId="0" xfId="0"/>
    <xf numFmtId="0" fontId="1" fillId="2" borderId="0" xfId="0" applyFont="1" applyFill="1" applyAlignment="1">
      <alignment horizontal="center"/>
    </xf>
    <xf numFmtId="164"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0" fillId="0" borderId="0" xfId="0" applyNumberFormat="1"/>
    <xf numFmtId="166" fontId="0" fillId="0" borderId="0" xfId="0" applyNumberFormat="1"/>
    <xf numFmtId="0" fontId="0" fillId="3" borderId="0" xfId="0" applyFill="1"/>
  </cellXfs>
  <cellStyles count="1">
    <cellStyle name="Normal" xfId="0" builtinId="0"/>
  </cellStyles>
  <dxfs count="2">
    <dxf>
      <fill>
        <patternFill>
          <bgColor theme="1" tint="0.499984740745262"/>
        </patternFill>
      </fill>
    </dxf>
    <dxf>
      <fill>
        <patternFill>
          <bgColor theme="1"/>
        </patternFill>
      </fill>
    </dxf>
  </dxfs>
  <tableStyles count="3" defaultTableStyle="TableStyleMedium2" defaultPivotStyle="PivotStyleLight16">
    <tableStyle name="Slicer Style 1" pivot="0" table="0" count="1" xr9:uid="{800CB9BD-8881-4B02-A5CF-6D414205C5F5}">
      <tableStyleElement type="wholeTable" dxfId="1"/>
    </tableStyle>
    <tableStyle name="Slicer Style 2" pivot="0" table="0" count="4" xr9:uid="{0211D1B0-392B-4754-BD15-7EB147184AAA}">
      <tableStyleElement type="wholeTable" dxfId="0"/>
    </tableStyle>
    <tableStyle name="Slicer Style 3" pivot="0" table="0" count="1" xr9:uid="{8E628150-FB84-41A9-82ED-34A6E1803F49}"/>
  </tableStyles>
  <extLst>
    <ext xmlns:x14="http://schemas.microsoft.com/office/spreadsheetml/2009/9/main" uri="{46F421CA-312F-682f-3DD2-61675219B42D}">
      <x14:dxfs count="12">
        <dxf>
          <fill>
            <patternFill>
              <bgColor theme="9" tint="0.59996337778862885"/>
            </patternFill>
          </fill>
        </dxf>
        <dxf>
          <fill>
            <patternFill>
              <bgColor theme="0"/>
            </patternFill>
          </fill>
        </dxf>
        <dxf>
          <fill>
            <patternFill>
              <bgColor theme="4" tint="0.79998168889431442"/>
            </patternFill>
          </fill>
        </dxf>
        <dxf>
          <fill>
            <patternFill>
              <bgColor theme="9" tint="0.59996337778862885"/>
            </patternFill>
          </fill>
        </dxf>
        <dxf>
          <fill>
            <patternFill>
              <bgColor theme="5" tint="-0.24994659260841701"/>
            </patternFill>
          </fill>
        </dxf>
        <dxf>
          <fill>
            <patternFill>
              <bgColor theme="4" tint="0.79998168889431442"/>
            </patternFill>
          </fill>
        </dxf>
        <dxf>
          <fill>
            <patternFill>
              <bgColor theme="5" tint="-0.24994659260841701"/>
            </patternFill>
          </fill>
        </dxf>
        <dxf>
          <fill>
            <patternFill>
              <bgColor theme="4" tint="0.79998168889431442"/>
            </patternFill>
          </fill>
        </dxf>
        <dxf>
          <fill>
            <patternFill>
              <bgColor theme="5" tint="-0.24994659260841701"/>
            </patternFill>
          </fill>
        </dxf>
        <dxf>
          <fill>
            <patternFill>
              <bgColor theme="4" tint="0.79998168889431442"/>
            </patternFill>
          </fill>
        </dxf>
        <dxf>
          <fill>
            <patternFill>
              <bgColor theme="4" tint="0.79998168889431442"/>
            </patternFill>
          </fill>
        </dxf>
        <dxf>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2"/>
            <x14:slicerStyleElement type="selectedItemWithNoData" dxfId="1"/>
            <x14:slicerStyleElement type="hoveredSelectedItemWithData" dxfId="0"/>
          </x14:slicerStyleElements>
        </x14:slicerStyle>
        <x14:slicerStyle name="Slicer Style 3">
          <x14:slicerStyleElements>
            <x14:slicerStyleElement type="selectedItemWithData" dxfId="1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2.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Personal Finance.xlsm]DASHBOARD!PivotTable1</c:name>
    <c:fmtId val="2"/>
  </c:pivotSource>
  <c:chart>
    <c:autoTitleDeleted val="1"/>
    <c:pivotFmts>
      <c:pivotFmt>
        <c:idx val="0"/>
        <c:spPr>
          <a:solidFill>
            <a:schemeClr val="accent1"/>
          </a:solidFill>
          <a:ln>
            <a:noFill/>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96817702057706"/>
          <c:y val="4.2556361677497734E-3"/>
          <c:w val="0.77966885389326335"/>
          <c:h val="0.84204505686789155"/>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DASHBOARD!$A$4:$A$9</c:f>
              <c:strCache>
                <c:ptCount val="5"/>
                <c:pt idx="0">
                  <c:v>TXN-20002</c:v>
                </c:pt>
                <c:pt idx="1">
                  <c:v>TXN-20044</c:v>
                </c:pt>
                <c:pt idx="2">
                  <c:v>TXN-20080</c:v>
                </c:pt>
                <c:pt idx="3">
                  <c:v>TXN-20120</c:v>
                </c:pt>
                <c:pt idx="4">
                  <c:v>TXN-20921</c:v>
                </c:pt>
              </c:strCache>
            </c:strRef>
          </c:cat>
          <c:val>
            <c:numRef>
              <c:f>DASHBOARD!$B$4:$B$9</c:f>
              <c:numCache>
                <c:formatCode>General</c:formatCode>
                <c:ptCount val="5"/>
                <c:pt idx="0">
                  <c:v>7130.48</c:v>
                </c:pt>
                <c:pt idx="1">
                  <c:v>12245.2</c:v>
                </c:pt>
                <c:pt idx="2">
                  <c:v>19363.39</c:v>
                </c:pt>
                <c:pt idx="3">
                  <c:v>21730.639999999999</c:v>
                </c:pt>
                <c:pt idx="4">
                  <c:v>111638.26</c:v>
                </c:pt>
              </c:numCache>
            </c:numRef>
          </c:val>
          <c:extLst>
            <c:ext xmlns:c16="http://schemas.microsoft.com/office/drawing/2014/chart" uri="{C3380CC4-5D6E-409C-BE32-E72D297353CC}">
              <c16:uniqueId val="{00000000-7C6D-426A-B2BB-5C864F39B1C5}"/>
            </c:ext>
          </c:extLst>
        </c:ser>
        <c:dLbls>
          <c:showLegendKey val="0"/>
          <c:showVal val="0"/>
          <c:showCatName val="0"/>
          <c:showSerName val="0"/>
          <c:showPercent val="0"/>
          <c:showBubbleSize val="0"/>
        </c:dLbls>
        <c:gapWidth val="182"/>
        <c:axId val="294179776"/>
        <c:axId val="294180256"/>
      </c:barChart>
      <c:catAx>
        <c:axId val="2941797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180256"/>
        <c:crosses val="autoZero"/>
        <c:auto val="1"/>
        <c:lblAlgn val="ctr"/>
        <c:lblOffset val="100"/>
        <c:noMultiLvlLbl val="0"/>
      </c:catAx>
      <c:valAx>
        <c:axId val="294180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1797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Personal Finance.xlsm]DASHBOARD!PivotTable7</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DASHBOARD!$G$4:$G$9</c:f>
              <c:strCache>
                <c:ptCount val="5"/>
                <c:pt idx="0">
                  <c:v>TXN-20022</c:v>
                </c:pt>
                <c:pt idx="1">
                  <c:v>TXN-20059</c:v>
                </c:pt>
                <c:pt idx="2">
                  <c:v>TXN-20119</c:v>
                </c:pt>
                <c:pt idx="3">
                  <c:v>TXN-20942</c:v>
                </c:pt>
                <c:pt idx="4">
                  <c:v>TXN-20983</c:v>
                </c:pt>
              </c:strCache>
            </c:strRef>
          </c:cat>
          <c:val>
            <c:numRef>
              <c:f>DASHBOARD!$H$4:$H$9</c:f>
              <c:numCache>
                <c:formatCode>"₹"\ #,##0.00</c:formatCode>
                <c:ptCount val="5"/>
                <c:pt idx="0">
                  <c:v>4854.8999999999996</c:v>
                </c:pt>
                <c:pt idx="1">
                  <c:v>4671.47</c:v>
                </c:pt>
                <c:pt idx="2">
                  <c:v>4992.96</c:v>
                </c:pt>
                <c:pt idx="3">
                  <c:v>5218.3999999999996</c:v>
                </c:pt>
                <c:pt idx="4">
                  <c:v>4894.96</c:v>
                </c:pt>
              </c:numCache>
            </c:numRef>
          </c:val>
          <c:extLst>
            <c:ext xmlns:c16="http://schemas.microsoft.com/office/drawing/2014/chart" uri="{C3380CC4-5D6E-409C-BE32-E72D297353CC}">
              <c16:uniqueId val="{00000000-3A40-4A7B-B389-B571169055D6}"/>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Personal Finance.xlsm]DASHBOARD!PivotTable8</c:name>
    <c:fmtId val="0"/>
  </c:pivotSource>
  <c:chart>
    <c:title>
      <c:layout>
        <c:manualLayout>
          <c:xMode val="edge"/>
          <c:yMode val="edge"/>
          <c:x val="0.63837355008043351"/>
          <c:y val="0.25423597198279207"/>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DASHBOARD!$K$3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DASHBOARD!$J$4:$J$9</c:f>
              <c:strCache>
                <c:ptCount val="5"/>
                <c:pt idx="0">
                  <c:v>TXN-20033</c:v>
                </c:pt>
                <c:pt idx="1">
                  <c:v>TXN-20067</c:v>
                </c:pt>
                <c:pt idx="2">
                  <c:v>TXN-20081</c:v>
                </c:pt>
                <c:pt idx="3">
                  <c:v>TXN-20914</c:v>
                </c:pt>
                <c:pt idx="4">
                  <c:v>TXN-20938</c:v>
                </c:pt>
              </c:strCache>
            </c:strRef>
          </c:cat>
          <c:val>
            <c:numRef>
              <c:f>DASHBOARD!$K$4:$K$9</c:f>
              <c:numCache>
                <c:formatCode>"₹"\ #,##0.00</c:formatCode>
                <c:ptCount val="5"/>
                <c:pt idx="0">
                  <c:v>9.59</c:v>
                </c:pt>
                <c:pt idx="1">
                  <c:v>9.76</c:v>
                </c:pt>
                <c:pt idx="2">
                  <c:v>10.1</c:v>
                </c:pt>
                <c:pt idx="3">
                  <c:v>9.02</c:v>
                </c:pt>
                <c:pt idx="4">
                  <c:v>5.07</c:v>
                </c:pt>
              </c:numCache>
            </c:numRef>
          </c:val>
          <c:extLst>
            <c:ext xmlns:c16="http://schemas.microsoft.com/office/drawing/2014/chart" uri="{C3380CC4-5D6E-409C-BE32-E72D297353CC}">
              <c16:uniqueId val="{00000000-A1C3-40C4-BAED-08D2E62EAF97}"/>
            </c:ext>
          </c:extLst>
        </c:ser>
        <c:dLbls>
          <c:showLegendKey val="0"/>
          <c:showVal val="0"/>
          <c:showCatName val="0"/>
          <c:showSerName val="0"/>
          <c:showPercent val="0"/>
          <c:showBubbleSize val="0"/>
        </c:dLbls>
        <c:gapWidth val="150"/>
        <c:shape val="box"/>
        <c:axId val="593391888"/>
        <c:axId val="593392368"/>
        <c:axId val="0"/>
      </c:bar3DChart>
      <c:catAx>
        <c:axId val="593391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3392368"/>
        <c:crosses val="autoZero"/>
        <c:auto val="1"/>
        <c:lblAlgn val="ctr"/>
        <c:lblOffset val="100"/>
        <c:noMultiLvlLbl val="0"/>
      </c:catAx>
      <c:valAx>
        <c:axId val="593392368"/>
        <c:scaling>
          <c:orientation val="minMax"/>
        </c:scaling>
        <c:delete val="0"/>
        <c:axPos val="b"/>
        <c:majorGridlines>
          <c:spPr>
            <a:ln w="9525" cap="flat" cmpd="sng" algn="ctr">
              <a:solidFill>
                <a:schemeClr val="dk1">
                  <a:lumMod val="50000"/>
                  <a:lumOff val="50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3391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9</xdr:row>
      <xdr:rowOff>175260</xdr:rowOff>
    </xdr:from>
    <xdr:to>
      <xdr:col>5</xdr:col>
      <xdr:colOff>7620</xdr:colOff>
      <xdr:row>19</xdr:row>
      <xdr:rowOff>53340</xdr:rowOff>
    </xdr:to>
    <xdr:graphicFrame macro="">
      <xdr:nvGraphicFramePr>
        <xdr:cNvPr id="3" name="Chart 2">
          <a:extLst>
            <a:ext uri="{FF2B5EF4-FFF2-40B4-BE49-F238E27FC236}">
              <a16:creationId xmlns:a16="http://schemas.microsoft.com/office/drawing/2014/main" id="{D5376C2D-2A39-CED8-EEBA-B24D64F296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xdr:colOff>
      <xdr:row>9</xdr:row>
      <xdr:rowOff>121920</xdr:rowOff>
    </xdr:from>
    <xdr:to>
      <xdr:col>8</xdr:col>
      <xdr:colOff>22860</xdr:colOff>
      <xdr:row>19</xdr:row>
      <xdr:rowOff>144780</xdr:rowOff>
    </xdr:to>
    <xdr:graphicFrame macro="">
      <xdr:nvGraphicFramePr>
        <xdr:cNvPr id="4" name="Chart 3">
          <a:extLst>
            <a:ext uri="{FF2B5EF4-FFF2-40B4-BE49-F238E27FC236}">
              <a16:creationId xmlns:a16="http://schemas.microsoft.com/office/drawing/2014/main" id="{146DF163-8F85-A7EE-1112-A27826036D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99060</xdr:colOff>
      <xdr:row>9</xdr:row>
      <xdr:rowOff>144780</xdr:rowOff>
    </xdr:from>
    <xdr:to>
      <xdr:col>11</xdr:col>
      <xdr:colOff>22860</xdr:colOff>
      <xdr:row>19</xdr:row>
      <xdr:rowOff>99060</xdr:rowOff>
    </xdr:to>
    <xdr:graphicFrame macro="">
      <xdr:nvGraphicFramePr>
        <xdr:cNvPr id="5" name="Chart 4">
          <a:extLst>
            <a:ext uri="{FF2B5EF4-FFF2-40B4-BE49-F238E27FC236}">
              <a16:creationId xmlns:a16="http://schemas.microsoft.com/office/drawing/2014/main" id="{F7106F25-9E49-FE75-D219-5723B433A3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106680</xdr:colOff>
      <xdr:row>1</xdr:row>
      <xdr:rowOff>38101</xdr:rowOff>
    </xdr:from>
    <xdr:to>
      <xdr:col>10</xdr:col>
      <xdr:colOff>746760</xdr:colOff>
      <xdr:row>1</xdr:row>
      <xdr:rowOff>525780</xdr:rowOff>
    </xdr:to>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2F592539-E172-EFE1-E0FC-55D1C7B18F9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6680" y="220981"/>
              <a:ext cx="10271760" cy="4876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VARDHAN" refreshedDate="46153.663855787039" createdVersion="8" refreshedVersion="8" minRefreshableVersion="3" recordCount="1001" xr:uid="{9FDC6BFC-9E76-4898-99C4-47DA4A540802}">
  <cacheSource type="worksheet">
    <worksheetSource ref="A1:J1048576" sheet="Raw data"/>
  </cacheSource>
  <cacheFields count="10">
    <cacheField name="Transaction ID" numFmtId="0">
      <sharedItems containsBlank="1" count="248">
        <s v="TXN-20001"/>
        <s v="TXN-20002"/>
        <s v="TXN-20003"/>
        <s v="TXN-20004"/>
        <s v="TXN-20005"/>
        <s v="TXN-20006"/>
        <s v="TXN-20007"/>
        <s v="TXN-20008"/>
        <s v="TXN-20009"/>
        <s v="TXN-20010"/>
        <s v="TXN-20011"/>
        <s v="TXN-20012"/>
        <s v="TXN-20013"/>
        <s v="TXN-20014"/>
        <s v="TXN-20015"/>
        <s v="TXN-20016"/>
        <s v="TXN-20017"/>
        <s v="TXN-20018"/>
        <s v="TXN-20019"/>
        <s v="TXN-20020"/>
        <s v="TXN-20021"/>
        <s v="TXN-20022"/>
        <s v="TXN-20023"/>
        <s v="TXN-20024"/>
        <s v="TXN-20025"/>
        <s v="TXN-20026"/>
        <s v="TXN-20027"/>
        <s v="TXN-20028"/>
        <s v="TXN-20029"/>
        <s v="TXN-20030"/>
        <s v="TXN-20031"/>
        <s v="TXN-20032"/>
        <s v="TXN-20033"/>
        <s v="TXN-20034"/>
        <s v="TXN-20035"/>
        <s v="TXN-20036"/>
        <s v="TXN-20037"/>
        <s v="TXN-20038"/>
        <s v="TXN-20039"/>
        <s v="TXN-20040"/>
        <s v="TXN-20041"/>
        <s v="TXN-20042"/>
        <s v="TXN-20043"/>
        <s v="TXN-20044"/>
        <s v="TXN-20045"/>
        <s v="TXN-20046"/>
        <s v="TXN-20047"/>
        <s v="TXN-20048"/>
        <s v="TXN-20049"/>
        <s v="TXN-20050"/>
        <s v="TXN-20051"/>
        <s v="TXN-20052"/>
        <s v="TXN-20053"/>
        <s v="TXN-20054"/>
        <s v="TXN-20055"/>
        <s v="TXN-20056"/>
        <s v="TXN-20057"/>
        <s v="TXN-20058"/>
        <s v="TXN-20059"/>
        <s v="TXN-20060"/>
        <s v="TXN-20061"/>
        <s v="TXN-20062"/>
        <s v="TXN-20063"/>
        <s v="TXN-20064"/>
        <s v="TXN-20065"/>
        <s v="TXN-20066"/>
        <s v="TXN-20067"/>
        <s v="TXN-20068"/>
        <s v="TXN-20069"/>
        <s v="TXN-20070"/>
        <s v="TXN-20071"/>
        <s v="TXN-20072"/>
        <s v="TXN-20073"/>
        <s v="TXN-20074"/>
        <s v="TXN-20075"/>
        <s v="TXN-20076"/>
        <s v="TXN-20077"/>
        <s v="TXN-20078"/>
        <s v="TXN-20079"/>
        <s v="TXN-20080"/>
        <s v="TXN-20081"/>
        <s v="TXN-20082"/>
        <s v="TXN-20083"/>
        <s v="TXN-20084"/>
        <s v="TXN-20085"/>
        <s v="TXN-20086"/>
        <s v="TXN-20087"/>
        <s v="TXN-20088"/>
        <s v="TXN-20089"/>
        <s v="TXN-20090"/>
        <s v="TXN-20091"/>
        <s v="TXN-20092"/>
        <s v="TXN-20093"/>
        <s v="TXN-20094"/>
        <s v="TXN-20095"/>
        <s v="TXN-20096"/>
        <s v="TXN-20097"/>
        <s v="TXN-20098"/>
        <s v="TXN-20099"/>
        <s v="TXN-20100"/>
        <s v="TXN-20101"/>
        <s v="TXN-20102"/>
        <s v="TXN-20103"/>
        <s v="TXN-20104"/>
        <s v="TXN-20105"/>
        <s v="TXN-20106"/>
        <s v="TXN-20107"/>
        <s v="TXN-20108"/>
        <s v="TXN-20109"/>
        <s v="TXN-20110"/>
        <s v="TXN-20111"/>
        <s v="TXN-20112"/>
        <s v="TXN-20113"/>
        <s v="TXN-20114"/>
        <s v="TXN-20115"/>
        <s v="TXN-20116"/>
        <s v="TXN-20117"/>
        <s v="TXN-20118"/>
        <s v="TXN-20119"/>
        <s v="TXN-20120"/>
        <s v="TXN-20121"/>
        <s v="TXN-20122"/>
        <s v="TXN-20123"/>
        <s v="TXN-20124"/>
        <s v="TXN-20125"/>
        <s v="TXN-20126"/>
        <s v="TXN-20127"/>
        <s v="TXN-20128"/>
        <s v="TXN-20129"/>
        <s v="TXN-20130"/>
        <s v="TXN-20131"/>
        <s v="TXN-20132"/>
        <s v="TXN-20133"/>
        <s v="TXN-20134"/>
        <s v="TXN-20135"/>
        <s v="TXN-20136"/>
        <s v="TXN-20137"/>
        <s v="TXN-20138"/>
        <s v="TXN-20139"/>
        <s v="TXN-20140"/>
        <s v="TXN-20141"/>
        <s v="TXN-20142"/>
        <s v="TXN-20143"/>
        <s v="TXN-20144"/>
        <s v="TXN-20145"/>
        <s v="TXN-20146"/>
        <s v="TXN-20147"/>
        <s v="TXN-20148"/>
        <s v="TXN-20149"/>
        <s v="TXN-20903"/>
        <s v="TXN-20904"/>
        <s v="TXN-20905"/>
        <s v="TXN-20906"/>
        <s v="TXN-20907"/>
        <s v="TXN-20908"/>
        <s v="TXN-20909"/>
        <s v="TXN-20910"/>
        <s v="TXN-20911"/>
        <s v="TXN-20912"/>
        <s v="TXN-20913"/>
        <s v="TXN-20914"/>
        <s v="TXN-20915"/>
        <s v="TXN-20916"/>
        <s v="TXN-20917"/>
        <s v="TXN-20918"/>
        <s v="TXN-20919"/>
        <s v="TXN-20920"/>
        <s v="TXN-20921"/>
        <s v="TXN-20922"/>
        <s v="TXN-20923"/>
        <s v="TXN-20924"/>
        <s v="TXN-20925"/>
        <s v="TXN-20926"/>
        <s v="TXN-20927"/>
        <s v="TXN-20928"/>
        <s v="TXN-20929"/>
        <s v="TXN-20930"/>
        <s v="TXN-20931"/>
        <s v="TXN-20932"/>
        <s v="TXN-20933"/>
        <s v="TXN-20934"/>
        <s v="TXN-20935"/>
        <s v="TXN-20936"/>
        <s v="TXN-20937"/>
        <s v="TXN-20938"/>
        <s v="TXN-20939"/>
        <s v="TXN-20940"/>
        <s v="TXN-20941"/>
        <s v="TXN-20942"/>
        <s v="TXN-20943"/>
        <s v="TXN-20944"/>
        <s v="TXN-20945"/>
        <s v="TXN-20946"/>
        <s v="TXN-20947"/>
        <s v="TXN-20948"/>
        <s v="TXN-20949"/>
        <s v="TXN-20950"/>
        <s v="TXN-20951"/>
        <s v="TXN-20952"/>
        <s v="TXN-20953"/>
        <s v="TXN-20954"/>
        <s v="TXN-20955"/>
        <s v="TXN-20956"/>
        <s v="TXN-20957"/>
        <s v="TXN-20958"/>
        <s v="TXN-20959"/>
        <s v="TXN-20960"/>
        <s v="TXN-20961"/>
        <s v="TXN-20962"/>
        <s v="TXN-20963"/>
        <s v="TXN-20964"/>
        <s v="TXN-20965"/>
        <s v="TXN-20966"/>
        <s v="TXN-20967"/>
        <s v="TXN-20968"/>
        <s v="TXN-20969"/>
        <s v="TXN-20970"/>
        <s v="TXN-20971"/>
        <s v="TXN-20972"/>
        <s v="TXN-20973"/>
        <s v="TXN-20974"/>
        <s v="TXN-20975"/>
        <s v="TXN-20976"/>
        <s v="TXN-20977"/>
        <s v="TXN-20978"/>
        <s v="TXN-20979"/>
        <s v="TXN-20980"/>
        <s v="TXN-20981"/>
        <s v="TXN-20982"/>
        <s v="TXN-20983"/>
        <s v="TXN-20984"/>
        <s v="TXN-20985"/>
        <s v="TXN-20986"/>
        <s v="TXN-20987"/>
        <s v="TXN-20988"/>
        <s v="TXN-20989"/>
        <s v="TXN-20990"/>
        <s v="TXN-20991"/>
        <s v="TXN-20992"/>
        <s v="TXN-20993"/>
        <s v="TXN-20994"/>
        <s v="TXN-20995"/>
        <s v="TXN-20996"/>
        <s v="TXN-20997"/>
        <s v="TXN-20998"/>
        <s v="TXN-20999"/>
        <s v="TXN-21000"/>
        <m/>
      </sharedItems>
    </cacheField>
    <cacheField name="Date" numFmtId="0">
      <sharedItems containsNonDate="0" containsDate="1" containsString="0" containsBlank="1" minDate="2024-01-01T00:00:00" maxDate="2025-12-31T00:00:00" count="150">
        <d v="2024-01-01T00:00:00"/>
        <d v="2024-01-02T00:00:00"/>
        <d v="2024-01-03T00:00:00"/>
        <d v="2024-01-04T00:00:00"/>
        <d v="2024-01-06T00:00:00"/>
        <d v="2024-01-07T00:00:00"/>
        <d v="2024-01-08T00:00:00"/>
        <d v="2024-01-10T00:00:00"/>
        <d v="2024-01-11T00:00:00"/>
        <d v="2024-01-12T00:00:00"/>
        <d v="2024-01-13T00:00:00"/>
        <d v="2024-01-14T00:00:00"/>
        <d v="2024-01-15T00:00:00"/>
        <d v="2024-01-16T00:00:00"/>
        <d v="2024-01-17T00:00:00"/>
        <d v="2024-01-19T00:00:00"/>
        <d v="2024-01-20T00:00:00"/>
        <d v="2024-01-21T00:00:00"/>
        <d v="2024-01-23T00:00:00"/>
        <d v="2024-01-24T00:00:00"/>
        <d v="2024-01-25T00:00:00"/>
        <d v="2024-01-26T00:00:00"/>
        <d v="2024-01-27T00:00:00"/>
        <d v="2024-01-28T00:00:00"/>
        <d v="2024-01-29T00:00:00"/>
        <d v="2024-01-30T00:00:00"/>
        <d v="2024-01-31T00:00:00"/>
        <d v="2024-02-01T00:00:00"/>
        <d v="2024-02-03T00:00:00"/>
        <d v="2024-02-04T00:00:00"/>
        <d v="2024-02-07T00:00:00"/>
        <d v="2024-02-08T00:00:00"/>
        <d v="2024-02-09T00:00:00"/>
        <d v="2024-02-10T00:00:00"/>
        <d v="2024-02-11T00:00:00"/>
        <d v="2024-02-12T00:00:00"/>
        <d v="2024-02-14T00:00:00"/>
        <d v="2024-02-15T00:00:00"/>
        <d v="2024-02-16T00:00:00"/>
        <d v="2024-02-17T00:00:00"/>
        <d v="2024-02-18T00:00:00"/>
        <d v="2024-02-19T00:00:00"/>
        <d v="2024-02-21T00:00:00"/>
        <d v="2024-02-22T00:00:00"/>
        <d v="2024-02-23T00:00:00"/>
        <d v="2024-02-24T00:00:00"/>
        <d v="2024-02-25T00:00:00"/>
        <d v="2024-02-27T00:00:00"/>
        <d v="2024-03-01T00:00:00"/>
        <d v="2024-03-02T00:00:00"/>
        <d v="2024-03-03T00:00:00"/>
        <d v="2024-03-04T00:00:00"/>
        <d v="2024-03-05T00:00:00"/>
        <d v="2024-03-06T00:00:00"/>
        <d v="2024-03-07T00:00:00"/>
        <d v="2024-03-08T00:00:00"/>
        <d v="2024-03-09T00:00:00"/>
        <d v="2024-03-10T00:00:00"/>
        <d v="2024-03-12T00:00:00"/>
        <d v="2024-03-13T00:00:00"/>
        <d v="2024-03-15T00:00:00"/>
        <d v="2024-03-16T00:00:00"/>
        <d v="2024-03-17T00:00:00"/>
        <d v="2024-03-18T00:00:00"/>
        <d v="2024-03-19T00:00:00"/>
        <d v="2024-03-20T00:00:00"/>
        <d v="2024-03-22T00:00:00"/>
        <d v="2024-03-24T00:00:00"/>
        <d v="2024-03-25T00:00:00"/>
        <d v="2024-03-26T00:00:00"/>
        <d v="2024-03-30T00:00:00"/>
        <d v="2024-03-31T00:00:00"/>
        <d v="2024-04-01T00:00:00"/>
        <d v="2024-04-02T00:00:00"/>
        <d v="2024-04-04T00:00:00"/>
        <d v="2024-04-05T00:00:00"/>
        <d v="2024-04-06T00:00:00"/>
        <d v="2024-04-07T00:00:00"/>
        <d v="2024-04-08T00:00:00"/>
        <d v="2024-04-09T00:00:00"/>
        <d v="2024-04-10T00:00:00"/>
        <d v="2024-04-11T00:00:00"/>
        <d v="2024-04-13T00:00:00"/>
        <d v="2024-04-14T00:00:00"/>
        <d v="2024-04-15T00:00:00"/>
        <d v="2024-04-16T00:00:00"/>
        <d v="2024-04-17T00:00:00"/>
        <d v="2025-10-15T00:00:00"/>
        <d v="2025-10-20T00:00:00"/>
        <d v="2025-10-21T00:00:00"/>
        <d v="2025-10-22T00:00:00"/>
        <d v="2025-10-24T00:00:00"/>
        <d v="2025-10-26T00:00:00"/>
        <d v="2025-10-27T00:00:00"/>
        <d v="2025-10-28T00:00:00"/>
        <d v="2025-10-29T00:00:00"/>
        <d v="2025-10-30T00:00:00"/>
        <d v="2025-10-31T00:00:00"/>
        <d v="2025-11-01T00:00:00"/>
        <d v="2025-11-02T00:00:00"/>
        <d v="2025-11-03T00:00:00"/>
        <d v="2025-11-05T00:00:00"/>
        <d v="2025-11-06T00:00:00"/>
        <d v="2025-11-07T00:00:00"/>
        <d v="2025-11-08T00:00:00"/>
        <d v="2025-11-09T00:00:00"/>
        <d v="2025-11-10T00:00:00"/>
        <d v="2025-11-11T00:00:00"/>
        <d v="2025-11-13T00:00:00"/>
        <d v="2025-11-14T00:00:00"/>
        <d v="2025-11-15T00:00:00"/>
        <d v="2025-11-17T00:00:00"/>
        <d v="2025-11-20T00:00:00"/>
        <d v="2025-11-21T00:00:00"/>
        <d v="2025-11-22T00:00:00"/>
        <d v="2025-11-23T00:00:00"/>
        <d v="2025-11-24T00:00:00"/>
        <d v="2025-11-27T00:00:00"/>
        <d v="2025-11-28T00:00:00"/>
        <d v="2025-11-29T00:00:00"/>
        <d v="2025-11-30T00:00:00"/>
        <d v="2025-12-01T00:00:00"/>
        <d v="2025-12-02T00:00:00"/>
        <d v="2025-12-03T00:00:00"/>
        <d v="2025-12-04T00:00:00"/>
        <d v="2025-12-05T00:00:00"/>
        <d v="2025-12-06T00:00:00"/>
        <d v="2025-12-07T00:00:00"/>
        <d v="2025-12-08T00:00:00"/>
        <d v="2025-12-09T00:00:00"/>
        <d v="2025-12-10T00:00:00"/>
        <d v="2025-12-11T00:00:00"/>
        <d v="2025-12-12T00:00:00"/>
        <d v="2025-12-14T00:00:00"/>
        <d v="2025-12-15T00:00:00"/>
        <d v="2025-12-16T00:00:00"/>
        <d v="2025-12-17T00:00:00"/>
        <d v="2025-12-18T00:00:00"/>
        <d v="2025-12-19T00:00:00"/>
        <d v="2025-12-20T00:00:00"/>
        <d v="2025-12-21T00:00:00"/>
        <d v="2025-12-22T00:00:00"/>
        <d v="2025-12-23T00:00:00"/>
        <d v="2025-12-24T00:00:00"/>
        <d v="2025-12-25T00:00:00"/>
        <d v="2025-12-26T00:00:00"/>
        <d v="2025-12-28T00:00:00"/>
        <d v="2025-12-29T00:00:00"/>
        <d v="2025-12-30T00:00:00"/>
        <m/>
      </sharedItems>
    </cacheField>
    <cacheField name="Account" numFmtId="0">
      <sharedItems containsBlank="1"/>
    </cacheField>
    <cacheField name="Type" numFmtId="0">
      <sharedItems containsBlank="1" count="3">
        <s v="Income"/>
        <s v="Expense"/>
        <m/>
      </sharedItems>
    </cacheField>
    <cacheField name="Category" numFmtId="0">
      <sharedItems containsBlank="1" count="9">
        <s v="Salary"/>
        <s v="Rent"/>
        <s v="Dining"/>
        <s v="Groceries"/>
        <s v="Entertainment"/>
        <s v="Utilities"/>
        <s v="Transport"/>
        <s v="Freelance"/>
        <m/>
      </sharedItems>
    </cacheField>
    <cacheField name="Description / Merchant" numFmtId="0">
      <sharedItems containsBlank="1"/>
    </cacheField>
    <cacheField name="Amount" numFmtId="0">
      <sharedItems containsString="0" containsBlank="1" containsNumber="1" minValue="5.07" maxValue="5218.3999999999996"/>
    </cacheField>
    <cacheField name="Payment Method" numFmtId="0">
      <sharedItems containsBlank="1" count="8">
        <s v="Direct Deposit"/>
        <s v="Auto-Pay"/>
        <s v="Cash"/>
        <s v="Credit"/>
        <s v="Debit"/>
        <s v="Transfer"/>
        <s v="Check"/>
        <m/>
      </sharedItems>
    </cacheField>
    <cacheField name="Is Recurring" numFmtId="0">
      <sharedItems containsBlank="1" count="3">
        <s v="Yes"/>
        <s v="No"/>
        <m/>
      </sharedItems>
    </cacheField>
    <cacheField name="Running Balance" numFmtId="0">
      <sharedItems containsString="0" containsBlank="1" containsNumber="1" minValue="5633.64" maxValue="121666.11" count="248">
        <n v="9039.07"/>
        <n v="7130.48"/>
        <n v="7114.05"/>
        <n v="6937.27"/>
        <n v="6901.28"/>
        <n v="6884.36"/>
        <n v="6825.91"/>
        <n v="6761.87"/>
        <n v="6695.95"/>
        <n v="6561.72"/>
        <n v="6478.65"/>
        <n v="6438.05"/>
        <n v="6260.76"/>
        <n v="6085.23"/>
        <n v="6000.77"/>
        <n v="5942.18"/>
        <n v="5763.44"/>
        <n v="5717.87"/>
        <n v="5680.95"/>
        <n v="5662.76"/>
        <n v="5633.64"/>
        <n v="10488.54"/>
        <n v="10454.6"/>
        <n v="10275.09"/>
        <n v="10263.209999999999"/>
        <n v="10183.19"/>
        <n v="10132.040000000001"/>
        <n v="10097.57"/>
        <n v="9989.17"/>
        <n v="9920.2000000000007"/>
        <n v="9863.1"/>
        <n v="9829.26"/>
        <n v="9819.67"/>
        <n v="9797.0300000000007"/>
        <n v="9646.0300000000007"/>
        <n v="9579.66"/>
        <n v="9534.41"/>
        <n v="9449.41"/>
        <n v="9408.68"/>
        <n v="9369.64"/>
        <n v="9330.61"/>
        <n v="9298.94"/>
        <n v="13639.48"/>
        <n v="12245.2"/>
        <n v="12192.99"/>
        <n v="12113.31"/>
        <n v="12071.6"/>
        <n v="12050.69"/>
        <n v="11988.64"/>
        <n v="11825.08"/>
        <n v="11769.49"/>
        <n v="12696.64"/>
        <n v="12538.02"/>
        <n v="12359.69"/>
        <n v="12266.48"/>
        <n v="12237.66"/>
        <n v="12188.7"/>
        <n v="12177.54"/>
        <n v="16849.009999999998"/>
        <n v="16705.98"/>
        <n v="16542.66"/>
        <n v="16500.39"/>
        <n v="16425.28"/>
        <n v="17682.349999999999"/>
        <n v="17517.91"/>
        <n v="17345.14"/>
        <n v="17335.38"/>
        <n v="17287.82"/>
        <n v="17216.330000000002"/>
        <n v="17074.2"/>
        <n v="17050.740000000002"/>
        <n v="17017.8"/>
        <n v="16948.099999999999"/>
        <n v="16840.84"/>
        <n v="16787.29"/>
        <n v="16676.16"/>
        <n v="16605.89"/>
        <n v="16569.22"/>
        <n v="21002.58"/>
        <n v="19363.39"/>
        <n v="19353.29"/>
        <n v="19296.650000000001"/>
        <n v="19261.25"/>
        <n v="19204.79"/>
        <n v="19180.61"/>
        <n v="19056.97"/>
        <n v="18867.63"/>
        <n v="18803.84"/>
        <n v="18790.82"/>
        <n v="18758.87"/>
        <n v="18586.96"/>
        <n v="18513.810000000001"/>
        <n v="18444.060000000001"/>
        <n v="18388.77"/>
        <n v="18337.55"/>
        <n v="18171.21"/>
        <n v="18040.12"/>
        <n v="18022.240000000002"/>
        <n v="17992.900000000001"/>
        <n v="17967.77"/>
        <n v="17800.43"/>
        <n v="17745.18"/>
        <n v="17706.310000000001"/>
        <n v="17625.73"/>
        <n v="17611.21"/>
        <n v="17542.900000000001"/>
        <n v="17464.080000000002"/>
        <n v="17448.150000000001"/>
        <n v="17414.66"/>
        <n v="17329.22"/>
        <n v="17312.2"/>
        <n v="17267.45"/>
        <n v="17130.580000000002"/>
        <n v="18334.78"/>
        <n v="18294.830000000002"/>
        <n v="18248.849999999999"/>
        <n v="18217.7"/>
        <n v="18052.439999999999"/>
        <n v="23045.4"/>
        <n v="21730.639999999999"/>
        <n v="21692.79"/>
        <n v="21603.75"/>
        <n v="21502.68"/>
        <n v="21426.55"/>
        <n v="21390.58"/>
        <n v="21205.82"/>
        <n v="21178.33"/>
        <n v="21098.86"/>
        <n v="21021.39"/>
        <n v="20966.63"/>
        <n v="20931.05"/>
        <n v="20688.330000000002"/>
        <n v="20536.22"/>
        <n v="20493.580000000002"/>
        <n v="20439.48"/>
        <n v="20385.28"/>
        <n v="20339.650000000001"/>
        <n v="21052.77"/>
        <n v="20894.29"/>
        <n v="20862.919999999998"/>
        <n v="20768.78"/>
        <n v="20695.8"/>
        <n v="20678.71"/>
        <n v="20591.18"/>
        <n v="20545.21"/>
        <n v="20524.759999999998"/>
        <n v="20428.78"/>
        <n v="20349.009999999998"/>
        <n v="20318.509999999998"/>
        <n v="112360.68"/>
        <n v="112343.64"/>
        <n v="112309.65"/>
        <n v="112927.24"/>
        <n v="112906.82"/>
        <n v="112829.23"/>
        <n v="113353.48"/>
        <n v="113175.03"/>
        <n v="113101.47"/>
        <n v="113007.27"/>
        <n v="112932.24"/>
        <n v="112923.22"/>
        <n v="112870.83"/>
        <n v="113500.92"/>
        <n v="113452.44"/>
        <n v="113370.49"/>
        <n v="113303.94"/>
        <n v="113293.72"/>
        <n v="111638.26"/>
        <n v="111564.63"/>
        <n v="111432.87"/>
        <n v="111399.09"/>
        <n v="111371.73"/>
        <n v="111345.2"/>
        <n v="111194.47"/>
        <n v="111111.28"/>
        <n v="111054.5"/>
        <n v="110975.4"/>
        <n v="110817.83"/>
        <n v="110769.76"/>
        <n v="110575.27"/>
        <n v="110463.45"/>
        <n v="110446.48"/>
        <n v="110199.72"/>
        <n v="110183.31"/>
        <n v="110178.24000000001"/>
        <n v="110135.35"/>
        <n v="110065.88"/>
        <n v="109989.47"/>
        <n v="115207.87"/>
        <n v="115191.52"/>
        <n v="115120.13"/>
        <n v="115044.23"/>
        <n v="115025.81"/>
        <n v="114995.93"/>
        <n v="114832.25"/>
        <n v="114821.84"/>
        <n v="114743.52"/>
        <n v="114728.09"/>
        <n v="114681.74"/>
        <n v="114609.42"/>
        <n v="114459.28"/>
        <n v="114407.95"/>
        <n v="114388.67"/>
        <n v="114318.15"/>
        <n v="114253.06"/>
        <n v="114215.8"/>
        <n v="118223.06"/>
        <n v="118202.19"/>
        <n v="118170.65"/>
        <n v="118152.12"/>
        <n v="118080.35"/>
        <n v="118055.47"/>
        <n v="118013.47"/>
        <n v="117855.78"/>
        <n v="117827.51"/>
        <n v="117732.78"/>
        <n v="117685.35"/>
        <n v="117529.64"/>
        <n v="117475.68"/>
        <n v="117460.78"/>
        <n v="117421.98"/>
        <n v="117194.64"/>
        <n v="117151.97"/>
        <n v="117111.76"/>
        <n v="117075.11"/>
        <n v="117016.11"/>
        <n v="116882.06"/>
        <n v="116826.06"/>
        <n v="116771.15"/>
        <n v="121666.11"/>
        <n v="121624.59"/>
        <n v="121578.89"/>
        <n v="121552.32000000001"/>
        <n v="121380.55"/>
        <n v="121351.97"/>
        <n v="121329.84"/>
        <n v="121259.29"/>
        <n v="121243.73"/>
        <n v="121175.63"/>
        <n v="121156.79"/>
        <n v="121110.17"/>
        <n v="121089.63"/>
        <n v="121074.26"/>
        <n v="121027.86"/>
        <n v="120998.86"/>
        <n v="120821.56"/>
        <n v="120753.54"/>
        <m/>
      </sharedItems>
    </cacheField>
  </cacheFields>
  <extLst>
    <ext xmlns:x14="http://schemas.microsoft.com/office/spreadsheetml/2009/9/main" uri="{725AE2AE-9491-48be-B2B4-4EB974FC3084}">
      <x14:pivotCacheDefinition pivotCacheId="12571472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YAVARDHAN" refreshedDate="46153.67719224537" createdVersion="8" refreshedVersion="8" minRefreshableVersion="3" recordCount="247" xr:uid="{A052DB98-108C-4897-9D78-94FED899307E}">
  <cacheSource type="worksheet">
    <worksheetSource ref="A1:J248" sheet="Raw data"/>
  </cacheSource>
  <cacheFields count="10">
    <cacheField name="Transaction ID" numFmtId="0">
      <sharedItems count="247">
        <s v="TXN-20001"/>
        <s v="TXN-20002"/>
        <s v="TXN-20003"/>
        <s v="TXN-20004"/>
        <s v="TXN-20005"/>
        <s v="TXN-20006"/>
        <s v="TXN-20007"/>
        <s v="TXN-20008"/>
        <s v="TXN-20009"/>
        <s v="TXN-20010"/>
        <s v="TXN-20011"/>
        <s v="TXN-20012"/>
        <s v="TXN-20013"/>
        <s v="TXN-20014"/>
        <s v="TXN-20015"/>
        <s v="TXN-20016"/>
        <s v="TXN-20017"/>
        <s v="TXN-20018"/>
        <s v="TXN-20019"/>
        <s v="TXN-20020"/>
        <s v="TXN-20021"/>
        <s v="TXN-20022"/>
        <s v="TXN-20023"/>
        <s v="TXN-20024"/>
        <s v="TXN-20025"/>
        <s v="TXN-20026"/>
        <s v="TXN-20027"/>
        <s v="TXN-20028"/>
        <s v="TXN-20029"/>
        <s v="TXN-20030"/>
        <s v="TXN-20031"/>
        <s v="TXN-20032"/>
        <s v="TXN-20033"/>
        <s v="TXN-20034"/>
        <s v="TXN-20035"/>
        <s v="TXN-20036"/>
        <s v="TXN-20037"/>
        <s v="TXN-20038"/>
        <s v="TXN-20039"/>
        <s v="TXN-20040"/>
        <s v="TXN-20041"/>
        <s v="TXN-20042"/>
        <s v="TXN-20043"/>
        <s v="TXN-20044"/>
        <s v="TXN-20045"/>
        <s v="TXN-20046"/>
        <s v="TXN-20047"/>
        <s v="TXN-20048"/>
        <s v="TXN-20049"/>
        <s v="TXN-20050"/>
        <s v="TXN-20051"/>
        <s v="TXN-20052"/>
        <s v="TXN-20053"/>
        <s v="TXN-20054"/>
        <s v="TXN-20055"/>
        <s v="TXN-20056"/>
        <s v="TXN-20057"/>
        <s v="TXN-20058"/>
        <s v="TXN-20059"/>
        <s v="TXN-20060"/>
        <s v="TXN-20061"/>
        <s v="TXN-20062"/>
        <s v="TXN-20063"/>
        <s v="TXN-20064"/>
        <s v="TXN-20065"/>
        <s v="TXN-20066"/>
        <s v="TXN-20067"/>
        <s v="TXN-20068"/>
        <s v="TXN-20069"/>
        <s v="TXN-20070"/>
        <s v="TXN-20071"/>
        <s v="TXN-20072"/>
        <s v="TXN-20073"/>
        <s v="TXN-20074"/>
        <s v="TXN-20075"/>
        <s v="TXN-20076"/>
        <s v="TXN-20077"/>
        <s v="TXN-20078"/>
        <s v="TXN-20079"/>
        <s v="TXN-20080"/>
        <s v="TXN-20081"/>
        <s v="TXN-20082"/>
        <s v="TXN-20083"/>
        <s v="TXN-20084"/>
        <s v="TXN-20085"/>
        <s v="TXN-20086"/>
        <s v="TXN-20087"/>
        <s v="TXN-20088"/>
        <s v="TXN-20089"/>
        <s v="TXN-20090"/>
        <s v="TXN-20091"/>
        <s v="TXN-20092"/>
        <s v="TXN-20093"/>
        <s v="TXN-20094"/>
        <s v="TXN-20095"/>
        <s v="TXN-20096"/>
        <s v="TXN-20097"/>
        <s v="TXN-20098"/>
        <s v="TXN-20099"/>
        <s v="TXN-20100"/>
        <s v="TXN-20101"/>
        <s v="TXN-20102"/>
        <s v="TXN-20103"/>
        <s v="TXN-20104"/>
        <s v="TXN-20105"/>
        <s v="TXN-20106"/>
        <s v="TXN-20107"/>
        <s v="TXN-20108"/>
        <s v="TXN-20109"/>
        <s v="TXN-20110"/>
        <s v="TXN-20111"/>
        <s v="TXN-20112"/>
        <s v="TXN-20113"/>
        <s v="TXN-20114"/>
        <s v="TXN-20115"/>
        <s v="TXN-20116"/>
        <s v="TXN-20117"/>
        <s v="TXN-20118"/>
        <s v="TXN-20119"/>
        <s v="TXN-20120"/>
        <s v="TXN-20121"/>
        <s v="TXN-20122"/>
        <s v="TXN-20123"/>
        <s v="TXN-20124"/>
        <s v="TXN-20125"/>
        <s v="TXN-20126"/>
        <s v="TXN-20127"/>
        <s v="TXN-20128"/>
        <s v="TXN-20129"/>
        <s v="TXN-20130"/>
        <s v="TXN-20131"/>
        <s v="TXN-20132"/>
        <s v="TXN-20133"/>
        <s v="TXN-20134"/>
        <s v="TXN-20135"/>
        <s v="TXN-20136"/>
        <s v="TXN-20137"/>
        <s v="TXN-20138"/>
        <s v="TXN-20139"/>
        <s v="TXN-20140"/>
        <s v="TXN-20141"/>
        <s v="TXN-20142"/>
        <s v="TXN-20143"/>
        <s v="TXN-20144"/>
        <s v="TXN-20145"/>
        <s v="TXN-20146"/>
        <s v="TXN-20147"/>
        <s v="TXN-20148"/>
        <s v="TXN-20149"/>
        <s v="TXN-20903"/>
        <s v="TXN-20904"/>
        <s v="TXN-20905"/>
        <s v="TXN-20906"/>
        <s v="TXN-20907"/>
        <s v="TXN-20908"/>
        <s v="TXN-20909"/>
        <s v="TXN-20910"/>
        <s v="TXN-20911"/>
        <s v="TXN-20912"/>
        <s v="TXN-20913"/>
        <s v="TXN-20914"/>
        <s v="TXN-20915"/>
        <s v="TXN-20916"/>
        <s v="TXN-20917"/>
        <s v="TXN-20918"/>
        <s v="TXN-20919"/>
        <s v="TXN-20920"/>
        <s v="TXN-20921"/>
        <s v="TXN-20922"/>
        <s v="TXN-20923"/>
        <s v="TXN-20924"/>
        <s v="TXN-20925"/>
        <s v="TXN-20926"/>
        <s v="TXN-20927"/>
        <s v="TXN-20928"/>
        <s v="TXN-20929"/>
        <s v="TXN-20930"/>
        <s v="TXN-20931"/>
        <s v="TXN-20932"/>
        <s v="TXN-20933"/>
        <s v="TXN-20934"/>
        <s v="TXN-20935"/>
        <s v="TXN-20936"/>
        <s v="TXN-20937"/>
        <s v="TXN-20938"/>
        <s v="TXN-20939"/>
        <s v="TXN-20940"/>
        <s v="TXN-20941"/>
        <s v="TXN-20942"/>
        <s v="TXN-20943"/>
        <s v="TXN-20944"/>
        <s v="TXN-20945"/>
        <s v="TXN-20946"/>
        <s v="TXN-20947"/>
        <s v="TXN-20948"/>
        <s v="TXN-20949"/>
        <s v="TXN-20950"/>
        <s v="TXN-20951"/>
        <s v="TXN-20952"/>
        <s v="TXN-20953"/>
        <s v="TXN-20954"/>
        <s v="TXN-20955"/>
        <s v="TXN-20956"/>
        <s v="TXN-20957"/>
        <s v="TXN-20958"/>
        <s v="TXN-20959"/>
        <s v="TXN-20960"/>
        <s v="TXN-20961"/>
        <s v="TXN-20962"/>
        <s v="TXN-20963"/>
        <s v="TXN-20964"/>
        <s v="TXN-20965"/>
        <s v="TXN-20966"/>
        <s v="TXN-20967"/>
        <s v="TXN-20968"/>
        <s v="TXN-20969"/>
        <s v="TXN-20970"/>
        <s v="TXN-20971"/>
        <s v="TXN-20972"/>
        <s v="TXN-20973"/>
        <s v="TXN-20974"/>
        <s v="TXN-20975"/>
        <s v="TXN-20976"/>
        <s v="TXN-20977"/>
        <s v="TXN-20978"/>
        <s v="TXN-20979"/>
        <s v="TXN-20980"/>
        <s v="TXN-20981"/>
        <s v="TXN-20982"/>
        <s v="TXN-20983"/>
        <s v="TXN-20984"/>
        <s v="TXN-20985"/>
        <s v="TXN-20986"/>
        <s v="TXN-20987"/>
        <s v="TXN-20988"/>
        <s v="TXN-20989"/>
        <s v="TXN-20990"/>
        <s v="TXN-20991"/>
        <s v="TXN-20992"/>
        <s v="TXN-20993"/>
        <s v="TXN-20994"/>
        <s v="TXN-20995"/>
        <s v="TXN-20996"/>
        <s v="TXN-20997"/>
        <s v="TXN-20998"/>
        <s v="TXN-20999"/>
        <s v="TXN-21000"/>
      </sharedItems>
    </cacheField>
    <cacheField name="Date" numFmtId="164">
      <sharedItems containsSemiMixedTypes="0" containsNonDate="0" containsDate="1" containsString="0" minDate="2024-01-01T00:00:00" maxDate="2025-12-31T00:00:00"/>
    </cacheField>
    <cacheField name="Account" numFmtId="0">
      <sharedItems/>
    </cacheField>
    <cacheField name="Type" numFmtId="0">
      <sharedItems/>
    </cacheField>
    <cacheField name="Category" numFmtId="0">
      <sharedItems/>
    </cacheField>
    <cacheField name="Description / Merchant" numFmtId="0">
      <sharedItems/>
    </cacheField>
    <cacheField name="Amount" numFmtId="165">
      <sharedItems containsSemiMixedTypes="0" containsString="0" containsNumber="1" minValue="5.07" maxValue="5218.3999999999996"/>
    </cacheField>
    <cacheField name="Payment Method" numFmtId="0">
      <sharedItems/>
    </cacheField>
    <cacheField name="Is Recurring" numFmtId="0">
      <sharedItems/>
    </cacheField>
    <cacheField name="Running Balance" numFmtId="165">
      <sharedItems containsSemiMixedTypes="0" containsString="0" containsNumber="1" minValue="5633.64" maxValue="121666.1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1">
  <r>
    <x v="0"/>
    <x v="0"/>
    <s v="Checking"/>
    <x v="0"/>
    <x v="0"/>
    <s v="Employer Direct Deposit"/>
    <n v="4039.07"/>
    <x v="0"/>
    <x v="0"/>
    <x v="0"/>
  </r>
  <r>
    <x v="1"/>
    <x v="0"/>
    <s v="Checking"/>
    <x v="1"/>
    <x v="1"/>
    <s v="Apartment Complex"/>
    <n v="1908.59"/>
    <x v="1"/>
    <x v="0"/>
    <x v="1"/>
  </r>
  <r>
    <x v="2"/>
    <x v="0"/>
    <s v="Checking"/>
    <x v="1"/>
    <x v="2"/>
    <s v="Sushi Palace"/>
    <n v="16.43"/>
    <x v="2"/>
    <x v="1"/>
    <x v="2"/>
  </r>
  <r>
    <x v="3"/>
    <x v="1"/>
    <s v="Checking"/>
    <x v="1"/>
    <x v="3"/>
    <s v="Walmart Grocery"/>
    <n v="176.78"/>
    <x v="3"/>
    <x v="1"/>
    <x v="3"/>
  </r>
  <r>
    <x v="4"/>
    <x v="2"/>
    <s v="Checking"/>
    <x v="1"/>
    <x v="2"/>
    <s v="McDonald's"/>
    <n v="35.99"/>
    <x v="3"/>
    <x v="1"/>
    <x v="4"/>
  </r>
  <r>
    <x v="5"/>
    <x v="3"/>
    <s v="Checking"/>
    <x v="1"/>
    <x v="3"/>
    <s v="Walmart Grocery"/>
    <n v="16.920000000000002"/>
    <x v="4"/>
    <x v="1"/>
    <x v="5"/>
  </r>
  <r>
    <x v="6"/>
    <x v="3"/>
    <s v="Credit Card"/>
    <x v="1"/>
    <x v="2"/>
    <s v="Olive Garden"/>
    <n v="58.45"/>
    <x v="3"/>
    <x v="1"/>
    <x v="6"/>
  </r>
  <r>
    <x v="7"/>
    <x v="3"/>
    <s v="Credit Card"/>
    <x v="1"/>
    <x v="4"/>
    <s v="Netflix"/>
    <n v="64.040000000000006"/>
    <x v="4"/>
    <x v="1"/>
    <x v="7"/>
  </r>
  <r>
    <x v="8"/>
    <x v="4"/>
    <s v="Credit Card"/>
    <x v="1"/>
    <x v="2"/>
    <s v="Olive Garden"/>
    <n v="65.92"/>
    <x v="3"/>
    <x v="1"/>
    <x v="8"/>
  </r>
  <r>
    <x v="9"/>
    <x v="5"/>
    <s v="Checking"/>
    <x v="1"/>
    <x v="5"/>
    <s v="Cell Phone Bill"/>
    <n v="134.22999999999999"/>
    <x v="1"/>
    <x v="0"/>
    <x v="9"/>
  </r>
  <r>
    <x v="10"/>
    <x v="5"/>
    <s v="Credit Card"/>
    <x v="1"/>
    <x v="2"/>
    <s v="McDonald's"/>
    <n v="83.07"/>
    <x v="2"/>
    <x v="1"/>
    <x v="10"/>
  </r>
  <r>
    <x v="11"/>
    <x v="5"/>
    <s v="Credit Card"/>
    <x v="1"/>
    <x v="6"/>
    <s v="Uber"/>
    <n v="40.6"/>
    <x v="4"/>
    <x v="1"/>
    <x v="11"/>
  </r>
  <r>
    <x v="12"/>
    <x v="6"/>
    <s v="Credit Card"/>
    <x v="1"/>
    <x v="5"/>
    <s v="Gas Company"/>
    <n v="177.29"/>
    <x v="1"/>
    <x v="0"/>
    <x v="12"/>
  </r>
  <r>
    <x v="13"/>
    <x v="6"/>
    <s v="Credit Card"/>
    <x v="1"/>
    <x v="3"/>
    <s v="Trader Joe's"/>
    <n v="175.53"/>
    <x v="3"/>
    <x v="1"/>
    <x v="13"/>
  </r>
  <r>
    <x v="14"/>
    <x v="7"/>
    <s v="Checking"/>
    <x v="1"/>
    <x v="2"/>
    <s v="Uber Eats"/>
    <n v="84.46"/>
    <x v="2"/>
    <x v="1"/>
    <x v="14"/>
  </r>
  <r>
    <x v="15"/>
    <x v="7"/>
    <s v="Checking"/>
    <x v="1"/>
    <x v="6"/>
    <s v="EZ Pass Toll"/>
    <n v="58.59"/>
    <x v="4"/>
    <x v="1"/>
    <x v="15"/>
  </r>
  <r>
    <x v="16"/>
    <x v="8"/>
    <s v="Credit Card"/>
    <x v="1"/>
    <x v="3"/>
    <s v="Whole Foods"/>
    <n v="178.74"/>
    <x v="4"/>
    <x v="1"/>
    <x v="16"/>
  </r>
  <r>
    <x v="17"/>
    <x v="8"/>
    <s v="Checking"/>
    <x v="1"/>
    <x v="6"/>
    <s v="BP Gas"/>
    <n v="45.57"/>
    <x v="2"/>
    <x v="1"/>
    <x v="17"/>
  </r>
  <r>
    <x v="18"/>
    <x v="9"/>
    <s v="Credit Card"/>
    <x v="1"/>
    <x v="6"/>
    <s v="Uber"/>
    <n v="36.92"/>
    <x v="4"/>
    <x v="1"/>
    <x v="18"/>
  </r>
  <r>
    <x v="19"/>
    <x v="10"/>
    <s v="Credit Card"/>
    <x v="1"/>
    <x v="2"/>
    <s v="Olive Garden"/>
    <n v="18.190000000000001"/>
    <x v="2"/>
    <x v="1"/>
    <x v="19"/>
  </r>
  <r>
    <x v="20"/>
    <x v="11"/>
    <s v="Checking"/>
    <x v="1"/>
    <x v="4"/>
    <s v="Concert Tickets"/>
    <n v="29.12"/>
    <x v="4"/>
    <x v="1"/>
    <x v="20"/>
  </r>
  <r>
    <x v="21"/>
    <x v="12"/>
    <s v="Checking"/>
    <x v="0"/>
    <x v="0"/>
    <s v="Employer Direct Deposit"/>
    <n v="4854.8999999999996"/>
    <x v="0"/>
    <x v="0"/>
    <x v="21"/>
  </r>
  <r>
    <x v="22"/>
    <x v="12"/>
    <s v="Checking"/>
    <x v="1"/>
    <x v="2"/>
    <s v="McDonald's"/>
    <n v="33.94"/>
    <x v="3"/>
    <x v="1"/>
    <x v="22"/>
  </r>
  <r>
    <x v="23"/>
    <x v="13"/>
    <s v="Checking"/>
    <x v="1"/>
    <x v="3"/>
    <s v="Walmart Grocery"/>
    <n v="179.51"/>
    <x v="3"/>
    <x v="1"/>
    <x v="23"/>
  </r>
  <r>
    <x v="24"/>
    <x v="13"/>
    <s v="Checking"/>
    <x v="1"/>
    <x v="6"/>
    <s v="Shell Gas"/>
    <n v="11.88"/>
    <x v="4"/>
    <x v="1"/>
    <x v="24"/>
  </r>
  <r>
    <x v="25"/>
    <x v="14"/>
    <s v="Credit Card"/>
    <x v="1"/>
    <x v="2"/>
    <s v="Olive Garden"/>
    <n v="80.02"/>
    <x v="2"/>
    <x v="1"/>
    <x v="25"/>
  </r>
  <r>
    <x v="26"/>
    <x v="15"/>
    <s v="Checking"/>
    <x v="1"/>
    <x v="6"/>
    <s v="BP Gas"/>
    <n v="51.15"/>
    <x v="3"/>
    <x v="1"/>
    <x v="26"/>
  </r>
  <r>
    <x v="27"/>
    <x v="16"/>
    <s v="Checking"/>
    <x v="1"/>
    <x v="6"/>
    <s v="EZ Pass Toll"/>
    <n v="34.47"/>
    <x v="4"/>
    <x v="1"/>
    <x v="27"/>
  </r>
  <r>
    <x v="28"/>
    <x v="17"/>
    <s v="Credit Card"/>
    <x v="1"/>
    <x v="3"/>
    <s v="Costco"/>
    <n v="108.4"/>
    <x v="3"/>
    <x v="1"/>
    <x v="28"/>
  </r>
  <r>
    <x v="29"/>
    <x v="18"/>
    <s v="Credit Card"/>
    <x v="1"/>
    <x v="2"/>
    <s v="Panera Bread"/>
    <n v="68.97"/>
    <x v="3"/>
    <x v="1"/>
    <x v="29"/>
  </r>
  <r>
    <x v="30"/>
    <x v="18"/>
    <s v="Checking"/>
    <x v="1"/>
    <x v="4"/>
    <s v="Concert Tickets"/>
    <n v="57.1"/>
    <x v="4"/>
    <x v="1"/>
    <x v="30"/>
  </r>
  <r>
    <x v="31"/>
    <x v="19"/>
    <s v="Checking"/>
    <x v="1"/>
    <x v="3"/>
    <s v="Kroger"/>
    <n v="33.840000000000003"/>
    <x v="4"/>
    <x v="1"/>
    <x v="31"/>
  </r>
  <r>
    <x v="32"/>
    <x v="20"/>
    <s v="Checking"/>
    <x v="1"/>
    <x v="2"/>
    <s v="Panera Bread"/>
    <n v="9.59"/>
    <x v="4"/>
    <x v="1"/>
    <x v="32"/>
  </r>
  <r>
    <x v="33"/>
    <x v="20"/>
    <s v="Credit Card"/>
    <x v="1"/>
    <x v="6"/>
    <s v="Metro Transit"/>
    <n v="22.64"/>
    <x v="4"/>
    <x v="1"/>
    <x v="33"/>
  </r>
  <r>
    <x v="34"/>
    <x v="21"/>
    <s v="Credit Card"/>
    <x v="1"/>
    <x v="3"/>
    <s v="Whole Foods"/>
    <n v="151"/>
    <x v="3"/>
    <x v="1"/>
    <x v="34"/>
  </r>
  <r>
    <x v="35"/>
    <x v="21"/>
    <s v="Checking"/>
    <x v="1"/>
    <x v="2"/>
    <s v="Olive Garden"/>
    <n v="66.37"/>
    <x v="2"/>
    <x v="1"/>
    <x v="35"/>
  </r>
  <r>
    <x v="36"/>
    <x v="22"/>
    <s v="Checking"/>
    <x v="1"/>
    <x v="6"/>
    <s v="Metro Transit"/>
    <n v="45.25"/>
    <x v="3"/>
    <x v="1"/>
    <x v="36"/>
  </r>
  <r>
    <x v="37"/>
    <x v="23"/>
    <s v="Credit Card"/>
    <x v="1"/>
    <x v="2"/>
    <s v="Chipotle"/>
    <n v="85"/>
    <x v="4"/>
    <x v="1"/>
    <x v="37"/>
  </r>
  <r>
    <x v="38"/>
    <x v="23"/>
    <s v="Credit Card"/>
    <x v="1"/>
    <x v="4"/>
    <s v="AMC Theaters"/>
    <n v="40.729999999999997"/>
    <x v="3"/>
    <x v="1"/>
    <x v="38"/>
  </r>
  <r>
    <x v="39"/>
    <x v="24"/>
    <s v="Credit Card"/>
    <x v="1"/>
    <x v="6"/>
    <s v="Lyft"/>
    <n v="39.04"/>
    <x v="2"/>
    <x v="1"/>
    <x v="39"/>
  </r>
  <r>
    <x v="40"/>
    <x v="25"/>
    <s v="Checking"/>
    <x v="1"/>
    <x v="2"/>
    <s v="Olive Garden"/>
    <n v="39.03"/>
    <x v="3"/>
    <x v="1"/>
    <x v="40"/>
  </r>
  <r>
    <x v="41"/>
    <x v="26"/>
    <s v="Checking"/>
    <x v="1"/>
    <x v="6"/>
    <s v="BP Gas"/>
    <n v="31.67"/>
    <x v="2"/>
    <x v="1"/>
    <x v="41"/>
  </r>
  <r>
    <x v="42"/>
    <x v="27"/>
    <s v="Checking"/>
    <x v="0"/>
    <x v="0"/>
    <s v="Employer Direct Deposit"/>
    <n v="4340.54"/>
    <x v="0"/>
    <x v="0"/>
    <x v="42"/>
  </r>
  <r>
    <x v="43"/>
    <x v="27"/>
    <s v="Checking"/>
    <x v="1"/>
    <x v="1"/>
    <s v="Property Management LLC"/>
    <n v="1394.28"/>
    <x v="1"/>
    <x v="0"/>
    <x v="43"/>
  </r>
  <r>
    <x v="44"/>
    <x v="28"/>
    <s v="Credit Card"/>
    <x v="1"/>
    <x v="2"/>
    <s v="DoorDash"/>
    <n v="52.21"/>
    <x v="2"/>
    <x v="1"/>
    <x v="44"/>
  </r>
  <r>
    <x v="45"/>
    <x v="29"/>
    <s v="Checking"/>
    <x v="1"/>
    <x v="2"/>
    <s v="Uber Eats"/>
    <n v="79.680000000000007"/>
    <x v="4"/>
    <x v="1"/>
    <x v="45"/>
  </r>
  <r>
    <x v="46"/>
    <x v="29"/>
    <s v="Credit Card"/>
    <x v="1"/>
    <x v="6"/>
    <s v="Shell Gas"/>
    <n v="41.71"/>
    <x v="3"/>
    <x v="1"/>
    <x v="46"/>
  </r>
  <r>
    <x v="47"/>
    <x v="30"/>
    <s v="Credit Card"/>
    <x v="1"/>
    <x v="2"/>
    <s v="Chipotle"/>
    <n v="20.91"/>
    <x v="3"/>
    <x v="1"/>
    <x v="47"/>
  </r>
  <r>
    <x v="48"/>
    <x v="31"/>
    <s v="Credit Card"/>
    <x v="1"/>
    <x v="5"/>
    <s v="Electric Company"/>
    <n v="62.05"/>
    <x v="1"/>
    <x v="0"/>
    <x v="48"/>
  </r>
  <r>
    <x v="49"/>
    <x v="32"/>
    <s v="Checking"/>
    <x v="1"/>
    <x v="5"/>
    <s v="Cell Phone Bill"/>
    <n v="163.56"/>
    <x v="1"/>
    <x v="0"/>
    <x v="49"/>
  </r>
  <r>
    <x v="50"/>
    <x v="32"/>
    <s v="Credit Card"/>
    <x v="1"/>
    <x v="6"/>
    <s v="Parking Garage"/>
    <n v="55.59"/>
    <x v="2"/>
    <x v="1"/>
    <x v="50"/>
  </r>
  <r>
    <x v="51"/>
    <x v="33"/>
    <s v="Checking"/>
    <x v="0"/>
    <x v="7"/>
    <s v="Upwork Transfer"/>
    <n v="927.15"/>
    <x v="5"/>
    <x v="1"/>
    <x v="51"/>
  </r>
  <r>
    <x v="52"/>
    <x v="33"/>
    <s v="Credit Card"/>
    <x v="1"/>
    <x v="5"/>
    <s v="Cell Phone Bill"/>
    <n v="158.62"/>
    <x v="1"/>
    <x v="0"/>
    <x v="52"/>
  </r>
  <r>
    <x v="53"/>
    <x v="34"/>
    <s v="Checking"/>
    <x v="1"/>
    <x v="3"/>
    <s v="Walmart Grocery"/>
    <n v="178.33"/>
    <x v="4"/>
    <x v="1"/>
    <x v="53"/>
  </r>
  <r>
    <x v="54"/>
    <x v="35"/>
    <s v="Checking"/>
    <x v="1"/>
    <x v="3"/>
    <s v="Safeway"/>
    <n v="93.21"/>
    <x v="3"/>
    <x v="1"/>
    <x v="54"/>
  </r>
  <r>
    <x v="55"/>
    <x v="35"/>
    <s v="Checking"/>
    <x v="1"/>
    <x v="6"/>
    <s v="BP Gas"/>
    <n v="28.82"/>
    <x v="2"/>
    <x v="1"/>
    <x v="55"/>
  </r>
  <r>
    <x v="56"/>
    <x v="36"/>
    <s v="Checking"/>
    <x v="1"/>
    <x v="3"/>
    <s v="Aldi"/>
    <n v="48.96"/>
    <x v="3"/>
    <x v="1"/>
    <x v="56"/>
  </r>
  <r>
    <x v="57"/>
    <x v="36"/>
    <s v="Checking"/>
    <x v="1"/>
    <x v="2"/>
    <s v="Chipotle"/>
    <n v="11.16"/>
    <x v="3"/>
    <x v="1"/>
    <x v="57"/>
  </r>
  <r>
    <x v="58"/>
    <x v="37"/>
    <s v="Checking"/>
    <x v="0"/>
    <x v="0"/>
    <s v="Employer Direct Deposit"/>
    <n v="4671.47"/>
    <x v="0"/>
    <x v="0"/>
    <x v="58"/>
  </r>
  <r>
    <x v="59"/>
    <x v="37"/>
    <s v="Credit Card"/>
    <x v="1"/>
    <x v="3"/>
    <s v="Trader Joe's"/>
    <n v="143.03"/>
    <x v="4"/>
    <x v="1"/>
    <x v="59"/>
  </r>
  <r>
    <x v="60"/>
    <x v="38"/>
    <s v="Checking"/>
    <x v="1"/>
    <x v="3"/>
    <s v="Aldi"/>
    <n v="163.32"/>
    <x v="3"/>
    <x v="1"/>
    <x v="60"/>
  </r>
  <r>
    <x v="61"/>
    <x v="39"/>
    <s v="Credit Card"/>
    <x v="1"/>
    <x v="3"/>
    <s v="Costco"/>
    <n v="42.27"/>
    <x v="4"/>
    <x v="1"/>
    <x v="61"/>
  </r>
  <r>
    <x v="62"/>
    <x v="39"/>
    <s v="Credit Card"/>
    <x v="1"/>
    <x v="2"/>
    <s v="Local Bistro"/>
    <n v="75.11"/>
    <x v="2"/>
    <x v="1"/>
    <x v="62"/>
  </r>
  <r>
    <x v="63"/>
    <x v="40"/>
    <s v="Savings"/>
    <x v="0"/>
    <x v="7"/>
    <s v="Fiverr Earnings"/>
    <n v="1257.07"/>
    <x v="5"/>
    <x v="1"/>
    <x v="63"/>
  </r>
  <r>
    <x v="64"/>
    <x v="40"/>
    <s v="Credit Card"/>
    <x v="1"/>
    <x v="3"/>
    <s v="Whole Foods"/>
    <n v="164.44"/>
    <x v="3"/>
    <x v="1"/>
    <x v="64"/>
  </r>
  <r>
    <x v="65"/>
    <x v="41"/>
    <s v="Credit Card"/>
    <x v="1"/>
    <x v="3"/>
    <s v="Aldi"/>
    <n v="172.77"/>
    <x v="4"/>
    <x v="1"/>
    <x v="65"/>
  </r>
  <r>
    <x v="66"/>
    <x v="41"/>
    <s v="Checking"/>
    <x v="1"/>
    <x v="6"/>
    <s v="Parking Garage"/>
    <n v="9.76"/>
    <x v="4"/>
    <x v="1"/>
    <x v="66"/>
  </r>
  <r>
    <x v="67"/>
    <x v="42"/>
    <s v="Checking"/>
    <x v="1"/>
    <x v="3"/>
    <s v="Kroger"/>
    <n v="47.56"/>
    <x v="4"/>
    <x v="1"/>
    <x v="67"/>
  </r>
  <r>
    <x v="68"/>
    <x v="42"/>
    <s v="Credit Card"/>
    <x v="1"/>
    <x v="2"/>
    <s v="Sushi Palace"/>
    <n v="71.489999999999995"/>
    <x v="4"/>
    <x v="1"/>
    <x v="68"/>
  </r>
  <r>
    <x v="69"/>
    <x v="43"/>
    <s v="Checking"/>
    <x v="1"/>
    <x v="3"/>
    <s v="Costco"/>
    <n v="142.13"/>
    <x v="4"/>
    <x v="1"/>
    <x v="69"/>
  </r>
  <r>
    <x v="70"/>
    <x v="43"/>
    <s v="Checking"/>
    <x v="1"/>
    <x v="2"/>
    <s v="Starbucks"/>
    <n v="23.46"/>
    <x v="4"/>
    <x v="1"/>
    <x v="70"/>
  </r>
  <r>
    <x v="71"/>
    <x v="43"/>
    <s v="Checking"/>
    <x v="1"/>
    <x v="4"/>
    <s v="Netflix"/>
    <n v="32.94"/>
    <x v="4"/>
    <x v="1"/>
    <x v="71"/>
  </r>
  <r>
    <x v="72"/>
    <x v="44"/>
    <s v="Checking"/>
    <x v="1"/>
    <x v="2"/>
    <s v="Local Bistro"/>
    <n v="69.7"/>
    <x v="2"/>
    <x v="1"/>
    <x v="72"/>
  </r>
  <r>
    <x v="73"/>
    <x v="45"/>
    <s v="Credit Card"/>
    <x v="1"/>
    <x v="3"/>
    <s v="Aldi"/>
    <n v="107.26"/>
    <x v="3"/>
    <x v="1"/>
    <x v="73"/>
  </r>
  <r>
    <x v="74"/>
    <x v="45"/>
    <s v="Credit Card"/>
    <x v="1"/>
    <x v="2"/>
    <s v="Local Bistro"/>
    <n v="53.55"/>
    <x v="4"/>
    <x v="1"/>
    <x v="74"/>
  </r>
  <r>
    <x v="75"/>
    <x v="46"/>
    <s v="Checking"/>
    <x v="1"/>
    <x v="3"/>
    <s v="Whole Foods"/>
    <n v="111.13"/>
    <x v="3"/>
    <x v="1"/>
    <x v="75"/>
  </r>
  <r>
    <x v="76"/>
    <x v="47"/>
    <s v="Checking"/>
    <x v="1"/>
    <x v="2"/>
    <s v="McDonald's"/>
    <n v="70.27"/>
    <x v="4"/>
    <x v="1"/>
    <x v="76"/>
  </r>
  <r>
    <x v="77"/>
    <x v="47"/>
    <s v="Credit Card"/>
    <x v="1"/>
    <x v="6"/>
    <s v="Shell Gas"/>
    <n v="36.67"/>
    <x v="4"/>
    <x v="1"/>
    <x v="77"/>
  </r>
  <r>
    <x v="78"/>
    <x v="48"/>
    <s v="Checking"/>
    <x v="0"/>
    <x v="0"/>
    <s v="Employer Direct Deposit"/>
    <n v="4433.3599999999997"/>
    <x v="0"/>
    <x v="0"/>
    <x v="78"/>
  </r>
  <r>
    <x v="79"/>
    <x v="48"/>
    <s v="Checking"/>
    <x v="1"/>
    <x v="1"/>
    <s v="Apartment Complex"/>
    <n v="1639.19"/>
    <x v="1"/>
    <x v="0"/>
    <x v="79"/>
  </r>
  <r>
    <x v="80"/>
    <x v="48"/>
    <s v="Checking"/>
    <x v="1"/>
    <x v="6"/>
    <s v="Shell Gas"/>
    <n v="10.1"/>
    <x v="3"/>
    <x v="1"/>
    <x v="80"/>
  </r>
  <r>
    <x v="81"/>
    <x v="48"/>
    <s v="Credit Card"/>
    <x v="1"/>
    <x v="4"/>
    <s v="Concert Tickets"/>
    <n v="56.64"/>
    <x v="3"/>
    <x v="1"/>
    <x v="81"/>
  </r>
  <r>
    <x v="82"/>
    <x v="49"/>
    <s v="Checking"/>
    <x v="1"/>
    <x v="6"/>
    <s v="Parking Garage"/>
    <n v="35.4"/>
    <x v="2"/>
    <x v="1"/>
    <x v="82"/>
  </r>
  <r>
    <x v="83"/>
    <x v="50"/>
    <s v="Credit Card"/>
    <x v="1"/>
    <x v="6"/>
    <s v="BP Gas"/>
    <n v="56.46"/>
    <x v="2"/>
    <x v="1"/>
    <x v="83"/>
  </r>
  <r>
    <x v="84"/>
    <x v="51"/>
    <s v="Checking"/>
    <x v="1"/>
    <x v="2"/>
    <s v="Local Bistro"/>
    <n v="24.18"/>
    <x v="4"/>
    <x v="1"/>
    <x v="84"/>
  </r>
  <r>
    <x v="85"/>
    <x v="52"/>
    <s v="Checking"/>
    <x v="1"/>
    <x v="5"/>
    <s v="Water Utility"/>
    <n v="123.64"/>
    <x v="1"/>
    <x v="0"/>
    <x v="85"/>
  </r>
  <r>
    <x v="86"/>
    <x v="53"/>
    <s v="Checking"/>
    <x v="1"/>
    <x v="5"/>
    <s v="Electric Company"/>
    <n v="189.34"/>
    <x v="1"/>
    <x v="0"/>
    <x v="86"/>
  </r>
  <r>
    <x v="87"/>
    <x v="53"/>
    <s v="Checking"/>
    <x v="1"/>
    <x v="3"/>
    <s v="Whole Foods"/>
    <n v="63.79"/>
    <x v="3"/>
    <x v="1"/>
    <x v="87"/>
  </r>
  <r>
    <x v="88"/>
    <x v="53"/>
    <s v="Checking"/>
    <x v="1"/>
    <x v="2"/>
    <s v="Sushi Palace"/>
    <n v="13.02"/>
    <x v="3"/>
    <x v="1"/>
    <x v="88"/>
  </r>
  <r>
    <x v="89"/>
    <x v="54"/>
    <s v="Credit Card"/>
    <x v="1"/>
    <x v="4"/>
    <s v="Kindle Store"/>
    <n v="31.95"/>
    <x v="3"/>
    <x v="1"/>
    <x v="89"/>
  </r>
  <r>
    <x v="90"/>
    <x v="55"/>
    <s v="Credit Card"/>
    <x v="1"/>
    <x v="5"/>
    <s v="Cell Phone Bill"/>
    <n v="171.91"/>
    <x v="1"/>
    <x v="0"/>
    <x v="90"/>
  </r>
  <r>
    <x v="91"/>
    <x v="55"/>
    <s v="Checking"/>
    <x v="1"/>
    <x v="3"/>
    <s v="Aldi"/>
    <n v="73.150000000000006"/>
    <x v="3"/>
    <x v="1"/>
    <x v="91"/>
  </r>
  <r>
    <x v="92"/>
    <x v="55"/>
    <s v="Checking"/>
    <x v="1"/>
    <x v="2"/>
    <s v="DoorDash"/>
    <n v="69.75"/>
    <x v="4"/>
    <x v="1"/>
    <x v="92"/>
  </r>
  <r>
    <x v="93"/>
    <x v="55"/>
    <s v="Checking"/>
    <x v="1"/>
    <x v="6"/>
    <s v="Parking Garage"/>
    <n v="55.29"/>
    <x v="4"/>
    <x v="1"/>
    <x v="93"/>
  </r>
  <r>
    <x v="94"/>
    <x v="56"/>
    <s v="Checking"/>
    <x v="1"/>
    <x v="2"/>
    <s v="Chipotle"/>
    <n v="51.22"/>
    <x v="4"/>
    <x v="1"/>
    <x v="94"/>
  </r>
  <r>
    <x v="95"/>
    <x v="57"/>
    <s v="Checking"/>
    <x v="1"/>
    <x v="5"/>
    <s v="Cell Phone Bill"/>
    <n v="166.34"/>
    <x v="1"/>
    <x v="0"/>
    <x v="95"/>
  </r>
  <r>
    <x v="96"/>
    <x v="57"/>
    <s v="Checking"/>
    <x v="1"/>
    <x v="3"/>
    <s v="Safeway"/>
    <n v="131.09"/>
    <x v="3"/>
    <x v="1"/>
    <x v="96"/>
  </r>
  <r>
    <x v="97"/>
    <x v="57"/>
    <s v="Credit Card"/>
    <x v="1"/>
    <x v="6"/>
    <s v="Lyft"/>
    <n v="17.88"/>
    <x v="3"/>
    <x v="1"/>
    <x v="97"/>
  </r>
  <r>
    <x v="98"/>
    <x v="58"/>
    <s v="Checking"/>
    <x v="1"/>
    <x v="2"/>
    <s v="Starbucks"/>
    <n v="29.34"/>
    <x v="3"/>
    <x v="1"/>
    <x v="98"/>
  </r>
  <r>
    <x v="99"/>
    <x v="58"/>
    <s v="Credit Card"/>
    <x v="1"/>
    <x v="6"/>
    <s v="Uber"/>
    <n v="25.13"/>
    <x v="3"/>
    <x v="1"/>
    <x v="99"/>
  </r>
  <r>
    <x v="100"/>
    <x v="59"/>
    <s v="Credit Card"/>
    <x v="1"/>
    <x v="3"/>
    <s v="Costco"/>
    <n v="167.34"/>
    <x v="3"/>
    <x v="1"/>
    <x v="100"/>
  </r>
  <r>
    <x v="101"/>
    <x v="59"/>
    <s v="Checking"/>
    <x v="1"/>
    <x v="6"/>
    <s v="Parking Garage"/>
    <n v="55.25"/>
    <x v="2"/>
    <x v="1"/>
    <x v="101"/>
  </r>
  <r>
    <x v="102"/>
    <x v="59"/>
    <s v="Credit Card"/>
    <x v="1"/>
    <x v="4"/>
    <s v="Bowling Alley"/>
    <n v="38.869999999999997"/>
    <x v="3"/>
    <x v="1"/>
    <x v="102"/>
  </r>
  <r>
    <x v="103"/>
    <x v="60"/>
    <s v="Credit Card"/>
    <x v="1"/>
    <x v="2"/>
    <s v="DoorDash"/>
    <n v="80.58"/>
    <x v="3"/>
    <x v="1"/>
    <x v="103"/>
  </r>
  <r>
    <x v="104"/>
    <x v="60"/>
    <s v="Credit Card"/>
    <x v="1"/>
    <x v="6"/>
    <s v="Metro Transit"/>
    <n v="14.52"/>
    <x v="3"/>
    <x v="1"/>
    <x v="104"/>
  </r>
  <r>
    <x v="105"/>
    <x v="61"/>
    <s v="Checking"/>
    <x v="1"/>
    <x v="2"/>
    <s v="McDonald's"/>
    <n v="68.31"/>
    <x v="2"/>
    <x v="1"/>
    <x v="105"/>
  </r>
  <r>
    <x v="106"/>
    <x v="62"/>
    <s v="Checking"/>
    <x v="1"/>
    <x v="2"/>
    <s v="McDonald's"/>
    <n v="78.819999999999993"/>
    <x v="2"/>
    <x v="1"/>
    <x v="106"/>
  </r>
  <r>
    <x v="107"/>
    <x v="63"/>
    <s v="Credit Card"/>
    <x v="1"/>
    <x v="6"/>
    <s v="Metro Transit"/>
    <n v="15.93"/>
    <x v="4"/>
    <x v="1"/>
    <x v="107"/>
  </r>
  <r>
    <x v="108"/>
    <x v="64"/>
    <s v="Checking"/>
    <x v="1"/>
    <x v="3"/>
    <s v="Aldi"/>
    <n v="33.49"/>
    <x v="4"/>
    <x v="1"/>
    <x v="108"/>
  </r>
  <r>
    <x v="109"/>
    <x v="64"/>
    <s v="Checking"/>
    <x v="1"/>
    <x v="4"/>
    <s v="Bowling Alley"/>
    <n v="85.44"/>
    <x v="3"/>
    <x v="1"/>
    <x v="109"/>
  </r>
  <r>
    <x v="110"/>
    <x v="65"/>
    <s v="Checking"/>
    <x v="1"/>
    <x v="4"/>
    <s v="Steam Games"/>
    <n v="17.02"/>
    <x v="3"/>
    <x v="1"/>
    <x v="110"/>
  </r>
  <r>
    <x v="111"/>
    <x v="66"/>
    <s v="Credit Card"/>
    <x v="1"/>
    <x v="6"/>
    <s v="Metro Transit"/>
    <n v="44.75"/>
    <x v="4"/>
    <x v="1"/>
    <x v="111"/>
  </r>
  <r>
    <x v="112"/>
    <x v="67"/>
    <s v="Checking"/>
    <x v="1"/>
    <x v="3"/>
    <s v="Costco"/>
    <n v="136.87"/>
    <x v="3"/>
    <x v="1"/>
    <x v="112"/>
  </r>
  <r>
    <x v="113"/>
    <x v="68"/>
    <s v="Savings"/>
    <x v="0"/>
    <x v="7"/>
    <s v="Fiverr Earnings"/>
    <n v="1204.2"/>
    <x v="6"/>
    <x v="1"/>
    <x v="113"/>
  </r>
  <r>
    <x v="114"/>
    <x v="69"/>
    <s v="Checking"/>
    <x v="1"/>
    <x v="6"/>
    <s v="Shell Gas"/>
    <n v="39.950000000000003"/>
    <x v="3"/>
    <x v="1"/>
    <x v="114"/>
  </r>
  <r>
    <x v="115"/>
    <x v="69"/>
    <s v="Credit Card"/>
    <x v="1"/>
    <x v="4"/>
    <s v="Spotify"/>
    <n v="45.98"/>
    <x v="4"/>
    <x v="1"/>
    <x v="115"/>
  </r>
  <r>
    <x v="116"/>
    <x v="70"/>
    <s v="Checking"/>
    <x v="1"/>
    <x v="2"/>
    <s v="Starbucks"/>
    <n v="31.15"/>
    <x v="3"/>
    <x v="1"/>
    <x v="116"/>
  </r>
  <r>
    <x v="117"/>
    <x v="71"/>
    <s v="Checking"/>
    <x v="1"/>
    <x v="3"/>
    <s v="Aldi"/>
    <n v="165.26"/>
    <x v="3"/>
    <x v="1"/>
    <x v="117"/>
  </r>
  <r>
    <x v="118"/>
    <x v="72"/>
    <s v="Checking"/>
    <x v="0"/>
    <x v="0"/>
    <s v="Employer Direct Deposit"/>
    <n v="4992.96"/>
    <x v="0"/>
    <x v="0"/>
    <x v="118"/>
  </r>
  <r>
    <x v="119"/>
    <x v="72"/>
    <s v="Checking"/>
    <x v="1"/>
    <x v="1"/>
    <s v="Landlord Payment"/>
    <n v="1314.76"/>
    <x v="1"/>
    <x v="0"/>
    <x v="119"/>
  </r>
  <r>
    <x v="120"/>
    <x v="72"/>
    <s v="Credit Card"/>
    <x v="1"/>
    <x v="2"/>
    <s v="Olive Garden"/>
    <n v="37.85"/>
    <x v="3"/>
    <x v="1"/>
    <x v="120"/>
  </r>
  <r>
    <x v="121"/>
    <x v="72"/>
    <s v="Checking"/>
    <x v="1"/>
    <x v="4"/>
    <s v="Spotify"/>
    <n v="89.04"/>
    <x v="4"/>
    <x v="1"/>
    <x v="121"/>
  </r>
  <r>
    <x v="122"/>
    <x v="73"/>
    <s v="Credit Card"/>
    <x v="1"/>
    <x v="3"/>
    <s v="Safeway"/>
    <n v="101.07"/>
    <x v="3"/>
    <x v="1"/>
    <x v="122"/>
  </r>
  <r>
    <x v="123"/>
    <x v="73"/>
    <s v="Checking"/>
    <x v="1"/>
    <x v="2"/>
    <s v="Olive Garden"/>
    <n v="76.13"/>
    <x v="2"/>
    <x v="1"/>
    <x v="123"/>
  </r>
  <r>
    <x v="124"/>
    <x v="74"/>
    <s v="Credit Card"/>
    <x v="1"/>
    <x v="6"/>
    <s v="EZ Pass Toll"/>
    <n v="35.97"/>
    <x v="4"/>
    <x v="1"/>
    <x v="124"/>
  </r>
  <r>
    <x v="125"/>
    <x v="75"/>
    <s v="Checking"/>
    <x v="1"/>
    <x v="5"/>
    <s v="Cell Phone Bill"/>
    <n v="184.76"/>
    <x v="1"/>
    <x v="0"/>
    <x v="125"/>
  </r>
  <r>
    <x v="126"/>
    <x v="75"/>
    <s v="Credit Card"/>
    <x v="1"/>
    <x v="6"/>
    <s v="Metro Transit"/>
    <n v="27.49"/>
    <x v="2"/>
    <x v="1"/>
    <x v="126"/>
  </r>
  <r>
    <x v="127"/>
    <x v="76"/>
    <s v="Checking"/>
    <x v="1"/>
    <x v="5"/>
    <s v="Gas Company"/>
    <n v="79.47"/>
    <x v="1"/>
    <x v="0"/>
    <x v="127"/>
  </r>
  <r>
    <x v="128"/>
    <x v="76"/>
    <s v="Credit Card"/>
    <x v="1"/>
    <x v="3"/>
    <s v="Walmart Grocery"/>
    <n v="77.47"/>
    <x v="4"/>
    <x v="1"/>
    <x v="128"/>
  </r>
  <r>
    <x v="129"/>
    <x v="76"/>
    <s v="Credit Card"/>
    <x v="1"/>
    <x v="6"/>
    <s v="Shell Gas"/>
    <n v="54.76"/>
    <x v="4"/>
    <x v="1"/>
    <x v="129"/>
  </r>
  <r>
    <x v="130"/>
    <x v="76"/>
    <s v="Credit Card"/>
    <x v="1"/>
    <x v="4"/>
    <s v="Spotify"/>
    <n v="35.58"/>
    <x v="4"/>
    <x v="1"/>
    <x v="130"/>
  </r>
  <r>
    <x v="131"/>
    <x v="77"/>
    <s v="Credit Card"/>
    <x v="1"/>
    <x v="5"/>
    <s v="Electric Company"/>
    <n v="242.72"/>
    <x v="1"/>
    <x v="0"/>
    <x v="131"/>
  </r>
  <r>
    <x v="132"/>
    <x v="77"/>
    <s v="Checking"/>
    <x v="1"/>
    <x v="3"/>
    <s v="Walmart Grocery"/>
    <n v="152.11000000000001"/>
    <x v="3"/>
    <x v="1"/>
    <x v="132"/>
  </r>
  <r>
    <x v="133"/>
    <x v="78"/>
    <s v="Checking"/>
    <x v="1"/>
    <x v="6"/>
    <s v="EZ Pass Toll"/>
    <n v="42.64"/>
    <x v="4"/>
    <x v="1"/>
    <x v="133"/>
  </r>
  <r>
    <x v="134"/>
    <x v="79"/>
    <s v="Credit Card"/>
    <x v="1"/>
    <x v="2"/>
    <s v="Sushi Palace"/>
    <n v="54.1"/>
    <x v="2"/>
    <x v="1"/>
    <x v="134"/>
  </r>
  <r>
    <x v="135"/>
    <x v="79"/>
    <s v="Credit Card"/>
    <x v="1"/>
    <x v="6"/>
    <s v="BP Gas"/>
    <n v="54.2"/>
    <x v="3"/>
    <x v="1"/>
    <x v="135"/>
  </r>
  <r>
    <x v="136"/>
    <x v="80"/>
    <s v="Checking"/>
    <x v="1"/>
    <x v="3"/>
    <s v="Aldi"/>
    <n v="45.63"/>
    <x v="3"/>
    <x v="1"/>
    <x v="136"/>
  </r>
  <r>
    <x v="137"/>
    <x v="81"/>
    <s v="Checking"/>
    <x v="0"/>
    <x v="7"/>
    <s v="Fiverr Earnings"/>
    <n v="713.12"/>
    <x v="5"/>
    <x v="1"/>
    <x v="137"/>
  </r>
  <r>
    <x v="138"/>
    <x v="82"/>
    <s v="Checking"/>
    <x v="1"/>
    <x v="3"/>
    <s v="Safeway"/>
    <n v="158.47999999999999"/>
    <x v="3"/>
    <x v="1"/>
    <x v="138"/>
  </r>
  <r>
    <x v="139"/>
    <x v="82"/>
    <s v="Credit Card"/>
    <x v="1"/>
    <x v="2"/>
    <s v="Uber Eats"/>
    <n v="31.37"/>
    <x v="2"/>
    <x v="1"/>
    <x v="139"/>
  </r>
  <r>
    <x v="140"/>
    <x v="83"/>
    <s v="Credit Card"/>
    <x v="1"/>
    <x v="3"/>
    <s v="Trader Joe's"/>
    <n v="94.14"/>
    <x v="3"/>
    <x v="1"/>
    <x v="140"/>
  </r>
  <r>
    <x v="141"/>
    <x v="83"/>
    <s v="Checking"/>
    <x v="1"/>
    <x v="2"/>
    <s v="Local Bistro"/>
    <n v="72.98"/>
    <x v="3"/>
    <x v="1"/>
    <x v="141"/>
  </r>
  <r>
    <x v="142"/>
    <x v="83"/>
    <s v="Credit Card"/>
    <x v="1"/>
    <x v="6"/>
    <s v="Parking Garage"/>
    <n v="17.09"/>
    <x v="4"/>
    <x v="1"/>
    <x v="142"/>
  </r>
  <r>
    <x v="143"/>
    <x v="84"/>
    <s v="Checking"/>
    <x v="1"/>
    <x v="3"/>
    <s v="Aldi"/>
    <n v="87.53"/>
    <x v="4"/>
    <x v="1"/>
    <x v="143"/>
  </r>
  <r>
    <x v="144"/>
    <x v="84"/>
    <s v="Credit Card"/>
    <x v="1"/>
    <x v="6"/>
    <s v="Shell Gas"/>
    <n v="45.97"/>
    <x v="4"/>
    <x v="1"/>
    <x v="144"/>
  </r>
  <r>
    <x v="145"/>
    <x v="84"/>
    <s v="Checking"/>
    <x v="1"/>
    <x v="4"/>
    <s v="Kindle Store"/>
    <n v="20.45"/>
    <x v="3"/>
    <x v="1"/>
    <x v="145"/>
  </r>
  <r>
    <x v="146"/>
    <x v="85"/>
    <s v="Checking"/>
    <x v="1"/>
    <x v="3"/>
    <s v="Aldi"/>
    <n v="95.98"/>
    <x v="4"/>
    <x v="1"/>
    <x v="146"/>
  </r>
  <r>
    <x v="147"/>
    <x v="86"/>
    <s v="Checking"/>
    <x v="1"/>
    <x v="3"/>
    <s v="Trader Joe's"/>
    <n v="79.77"/>
    <x v="4"/>
    <x v="1"/>
    <x v="147"/>
  </r>
  <r>
    <x v="148"/>
    <x v="86"/>
    <s v="Credit Card"/>
    <x v="1"/>
    <x v="6"/>
    <s v="Uber"/>
    <n v="30.5"/>
    <x v="2"/>
    <x v="1"/>
    <x v="148"/>
  </r>
  <r>
    <x v="149"/>
    <x v="87"/>
    <s v="Credit Card"/>
    <x v="1"/>
    <x v="6"/>
    <s v="Lyft"/>
    <n v="33.49"/>
    <x v="2"/>
    <x v="1"/>
    <x v="149"/>
  </r>
  <r>
    <x v="150"/>
    <x v="88"/>
    <s v="Credit Card"/>
    <x v="1"/>
    <x v="2"/>
    <s v="Starbucks"/>
    <n v="17.04"/>
    <x v="3"/>
    <x v="1"/>
    <x v="150"/>
  </r>
  <r>
    <x v="151"/>
    <x v="88"/>
    <s v="Credit Card"/>
    <x v="1"/>
    <x v="6"/>
    <s v="Parking Garage"/>
    <n v="33.99"/>
    <x v="3"/>
    <x v="1"/>
    <x v="151"/>
  </r>
  <r>
    <x v="152"/>
    <x v="89"/>
    <s v="Savings"/>
    <x v="0"/>
    <x v="7"/>
    <s v="Upwork Transfer"/>
    <n v="617.59"/>
    <x v="5"/>
    <x v="1"/>
    <x v="152"/>
  </r>
  <r>
    <x v="153"/>
    <x v="89"/>
    <s v="Checking"/>
    <x v="1"/>
    <x v="6"/>
    <s v="EZ Pass Toll"/>
    <n v="20.420000000000002"/>
    <x v="4"/>
    <x v="1"/>
    <x v="153"/>
  </r>
  <r>
    <x v="154"/>
    <x v="90"/>
    <s v="Credit Card"/>
    <x v="1"/>
    <x v="4"/>
    <s v="Kindle Store"/>
    <n v="77.59"/>
    <x v="4"/>
    <x v="1"/>
    <x v="154"/>
  </r>
  <r>
    <x v="155"/>
    <x v="91"/>
    <s v="Checking"/>
    <x v="0"/>
    <x v="7"/>
    <s v="Fiverr Earnings"/>
    <n v="524.25"/>
    <x v="5"/>
    <x v="1"/>
    <x v="155"/>
  </r>
  <r>
    <x v="156"/>
    <x v="91"/>
    <s v="Credit Card"/>
    <x v="1"/>
    <x v="3"/>
    <s v="Walmart Grocery"/>
    <n v="178.45"/>
    <x v="3"/>
    <x v="1"/>
    <x v="156"/>
  </r>
  <r>
    <x v="157"/>
    <x v="91"/>
    <s v="Credit Card"/>
    <x v="1"/>
    <x v="2"/>
    <s v="Local Bistro"/>
    <n v="73.56"/>
    <x v="4"/>
    <x v="1"/>
    <x v="157"/>
  </r>
  <r>
    <x v="158"/>
    <x v="91"/>
    <s v="Checking"/>
    <x v="1"/>
    <x v="4"/>
    <s v="Spotify"/>
    <n v="94.2"/>
    <x v="3"/>
    <x v="1"/>
    <x v="158"/>
  </r>
  <r>
    <x v="159"/>
    <x v="92"/>
    <s v="Checking"/>
    <x v="1"/>
    <x v="2"/>
    <s v="Local Bistro"/>
    <n v="75.03"/>
    <x v="4"/>
    <x v="1"/>
    <x v="159"/>
  </r>
  <r>
    <x v="160"/>
    <x v="93"/>
    <s v="Checking"/>
    <x v="1"/>
    <x v="2"/>
    <s v="Local Bistro"/>
    <n v="9.02"/>
    <x v="3"/>
    <x v="1"/>
    <x v="160"/>
  </r>
  <r>
    <x v="161"/>
    <x v="93"/>
    <s v="Checking"/>
    <x v="1"/>
    <x v="6"/>
    <s v="Shell Gas"/>
    <n v="52.39"/>
    <x v="4"/>
    <x v="1"/>
    <x v="161"/>
  </r>
  <r>
    <x v="162"/>
    <x v="94"/>
    <s v="Checking"/>
    <x v="0"/>
    <x v="7"/>
    <s v="Fiverr Earnings"/>
    <n v="630.09"/>
    <x v="5"/>
    <x v="1"/>
    <x v="162"/>
  </r>
  <r>
    <x v="163"/>
    <x v="94"/>
    <s v="Checking"/>
    <x v="1"/>
    <x v="6"/>
    <s v="Lyft"/>
    <n v="48.48"/>
    <x v="2"/>
    <x v="1"/>
    <x v="163"/>
  </r>
  <r>
    <x v="164"/>
    <x v="95"/>
    <s v="Credit Card"/>
    <x v="1"/>
    <x v="4"/>
    <s v="Netflix"/>
    <n v="81.95"/>
    <x v="4"/>
    <x v="1"/>
    <x v="164"/>
  </r>
  <r>
    <x v="165"/>
    <x v="96"/>
    <s v="Checking"/>
    <x v="1"/>
    <x v="3"/>
    <s v="Kroger"/>
    <n v="66.55"/>
    <x v="3"/>
    <x v="1"/>
    <x v="165"/>
  </r>
  <r>
    <x v="166"/>
    <x v="97"/>
    <s v="Credit Card"/>
    <x v="1"/>
    <x v="2"/>
    <s v="Uber Eats"/>
    <n v="10.220000000000001"/>
    <x v="4"/>
    <x v="1"/>
    <x v="166"/>
  </r>
  <r>
    <x v="167"/>
    <x v="98"/>
    <s v="Checking"/>
    <x v="1"/>
    <x v="1"/>
    <s v="Apartment Complex"/>
    <n v="1655.46"/>
    <x v="1"/>
    <x v="0"/>
    <x v="167"/>
  </r>
  <r>
    <x v="168"/>
    <x v="98"/>
    <s v="Credit Card"/>
    <x v="1"/>
    <x v="3"/>
    <s v="Safeway"/>
    <n v="73.63"/>
    <x v="3"/>
    <x v="1"/>
    <x v="168"/>
  </r>
  <r>
    <x v="169"/>
    <x v="99"/>
    <s v="Checking"/>
    <x v="1"/>
    <x v="3"/>
    <s v="Costco"/>
    <n v="131.76"/>
    <x v="3"/>
    <x v="1"/>
    <x v="169"/>
  </r>
  <r>
    <x v="170"/>
    <x v="99"/>
    <s v="Checking"/>
    <x v="1"/>
    <x v="6"/>
    <s v="BP Gas"/>
    <n v="33.78"/>
    <x v="3"/>
    <x v="1"/>
    <x v="170"/>
  </r>
  <r>
    <x v="171"/>
    <x v="100"/>
    <s v="Credit Card"/>
    <x v="1"/>
    <x v="3"/>
    <s v="Kroger"/>
    <n v="27.36"/>
    <x v="3"/>
    <x v="1"/>
    <x v="171"/>
  </r>
  <r>
    <x v="172"/>
    <x v="100"/>
    <s v="Checking"/>
    <x v="1"/>
    <x v="6"/>
    <s v="BP Gas"/>
    <n v="26.53"/>
    <x v="2"/>
    <x v="1"/>
    <x v="172"/>
  </r>
  <r>
    <x v="173"/>
    <x v="101"/>
    <s v="Credit Card"/>
    <x v="1"/>
    <x v="3"/>
    <s v="Costco"/>
    <n v="150.72999999999999"/>
    <x v="4"/>
    <x v="1"/>
    <x v="173"/>
  </r>
  <r>
    <x v="174"/>
    <x v="101"/>
    <s v="Checking"/>
    <x v="1"/>
    <x v="2"/>
    <s v="Starbucks"/>
    <n v="83.19"/>
    <x v="2"/>
    <x v="1"/>
    <x v="174"/>
  </r>
  <r>
    <x v="175"/>
    <x v="101"/>
    <s v="Checking"/>
    <x v="1"/>
    <x v="6"/>
    <s v="EZ Pass Toll"/>
    <n v="56.78"/>
    <x v="4"/>
    <x v="1"/>
    <x v="175"/>
  </r>
  <r>
    <x v="176"/>
    <x v="102"/>
    <s v="Checking"/>
    <x v="1"/>
    <x v="4"/>
    <s v="Spotify"/>
    <n v="79.099999999999994"/>
    <x v="3"/>
    <x v="1"/>
    <x v="176"/>
  </r>
  <r>
    <x v="177"/>
    <x v="103"/>
    <s v="Checking"/>
    <x v="1"/>
    <x v="3"/>
    <s v="Trader Joe's"/>
    <n v="157.57"/>
    <x v="3"/>
    <x v="1"/>
    <x v="177"/>
  </r>
  <r>
    <x v="178"/>
    <x v="103"/>
    <s v="Checking"/>
    <x v="1"/>
    <x v="6"/>
    <s v="Parking Garage"/>
    <n v="48.07"/>
    <x v="4"/>
    <x v="1"/>
    <x v="178"/>
  </r>
  <r>
    <x v="179"/>
    <x v="104"/>
    <s v="Checking"/>
    <x v="1"/>
    <x v="5"/>
    <s v="Gas Company"/>
    <n v="194.49"/>
    <x v="1"/>
    <x v="0"/>
    <x v="179"/>
  </r>
  <r>
    <x v="180"/>
    <x v="104"/>
    <s v="Checking"/>
    <x v="1"/>
    <x v="3"/>
    <s v="Aldi"/>
    <n v="111.82"/>
    <x v="3"/>
    <x v="1"/>
    <x v="180"/>
  </r>
  <r>
    <x v="181"/>
    <x v="104"/>
    <s v="Credit Card"/>
    <x v="1"/>
    <x v="6"/>
    <s v="Parking Garage"/>
    <n v="16.97"/>
    <x v="2"/>
    <x v="1"/>
    <x v="181"/>
  </r>
  <r>
    <x v="182"/>
    <x v="105"/>
    <s v="Checking"/>
    <x v="1"/>
    <x v="5"/>
    <s v="Gas Company"/>
    <n v="246.76"/>
    <x v="1"/>
    <x v="0"/>
    <x v="182"/>
  </r>
  <r>
    <x v="183"/>
    <x v="105"/>
    <s v="Credit Card"/>
    <x v="1"/>
    <x v="2"/>
    <s v="Sushi Palace"/>
    <n v="16.41"/>
    <x v="2"/>
    <x v="1"/>
    <x v="183"/>
  </r>
  <r>
    <x v="184"/>
    <x v="106"/>
    <s v="Credit Card"/>
    <x v="1"/>
    <x v="6"/>
    <s v="Lyft"/>
    <n v="5.07"/>
    <x v="3"/>
    <x v="1"/>
    <x v="184"/>
  </r>
  <r>
    <x v="185"/>
    <x v="107"/>
    <s v="Checking"/>
    <x v="1"/>
    <x v="6"/>
    <s v="Shell Gas"/>
    <n v="42.89"/>
    <x v="3"/>
    <x v="1"/>
    <x v="185"/>
  </r>
  <r>
    <x v="186"/>
    <x v="108"/>
    <s v="Checking"/>
    <x v="1"/>
    <x v="2"/>
    <s v="Sushi Palace"/>
    <n v="69.47"/>
    <x v="4"/>
    <x v="1"/>
    <x v="186"/>
  </r>
  <r>
    <x v="187"/>
    <x v="109"/>
    <s v="Checking"/>
    <x v="1"/>
    <x v="2"/>
    <s v="Starbucks"/>
    <n v="76.41"/>
    <x v="3"/>
    <x v="1"/>
    <x v="187"/>
  </r>
  <r>
    <x v="188"/>
    <x v="110"/>
    <s v="Checking"/>
    <x v="0"/>
    <x v="0"/>
    <s v="Employer Direct Deposit"/>
    <n v="5218.3999999999996"/>
    <x v="0"/>
    <x v="0"/>
    <x v="188"/>
  </r>
  <r>
    <x v="189"/>
    <x v="110"/>
    <s v="Credit Card"/>
    <x v="1"/>
    <x v="2"/>
    <s v="Panera Bread"/>
    <n v="16.350000000000001"/>
    <x v="3"/>
    <x v="1"/>
    <x v="189"/>
  </r>
  <r>
    <x v="190"/>
    <x v="111"/>
    <s v="Credit Card"/>
    <x v="1"/>
    <x v="3"/>
    <s v="Kroger"/>
    <n v="71.39"/>
    <x v="4"/>
    <x v="1"/>
    <x v="190"/>
  </r>
  <r>
    <x v="191"/>
    <x v="112"/>
    <s v="Checking"/>
    <x v="1"/>
    <x v="2"/>
    <s v="Uber Eats"/>
    <n v="75.900000000000006"/>
    <x v="4"/>
    <x v="1"/>
    <x v="191"/>
  </r>
  <r>
    <x v="192"/>
    <x v="112"/>
    <s v="Credit Card"/>
    <x v="1"/>
    <x v="6"/>
    <s v="Parking Garage"/>
    <n v="18.420000000000002"/>
    <x v="3"/>
    <x v="1"/>
    <x v="192"/>
  </r>
  <r>
    <x v="193"/>
    <x v="113"/>
    <s v="Credit Card"/>
    <x v="1"/>
    <x v="2"/>
    <s v="Sushi Palace"/>
    <n v="29.88"/>
    <x v="4"/>
    <x v="1"/>
    <x v="193"/>
  </r>
  <r>
    <x v="194"/>
    <x v="114"/>
    <s v="Credit Card"/>
    <x v="1"/>
    <x v="3"/>
    <s v="Trader Joe's"/>
    <n v="163.68"/>
    <x v="4"/>
    <x v="1"/>
    <x v="194"/>
  </r>
  <r>
    <x v="195"/>
    <x v="114"/>
    <s v="Checking"/>
    <x v="1"/>
    <x v="2"/>
    <s v="DoorDash"/>
    <n v="10.41"/>
    <x v="3"/>
    <x v="1"/>
    <x v="195"/>
  </r>
  <r>
    <x v="196"/>
    <x v="115"/>
    <s v="Credit Card"/>
    <x v="1"/>
    <x v="3"/>
    <s v="Walmart Grocery"/>
    <n v="78.319999999999993"/>
    <x v="4"/>
    <x v="1"/>
    <x v="196"/>
  </r>
  <r>
    <x v="197"/>
    <x v="115"/>
    <s v="Checking"/>
    <x v="1"/>
    <x v="2"/>
    <s v="Uber Eats"/>
    <n v="15.43"/>
    <x v="3"/>
    <x v="1"/>
    <x v="197"/>
  </r>
  <r>
    <x v="198"/>
    <x v="116"/>
    <s v="Checking"/>
    <x v="1"/>
    <x v="6"/>
    <s v="EZ Pass Toll"/>
    <n v="46.35"/>
    <x v="4"/>
    <x v="1"/>
    <x v="198"/>
  </r>
  <r>
    <x v="199"/>
    <x v="117"/>
    <s v="Credit Card"/>
    <x v="1"/>
    <x v="3"/>
    <s v="Trader Joe's"/>
    <n v="72.319999999999993"/>
    <x v="3"/>
    <x v="1"/>
    <x v="199"/>
  </r>
  <r>
    <x v="200"/>
    <x v="118"/>
    <s v="Credit Card"/>
    <x v="1"/>
    <x v="3"/>
    <s v="Safeway"/>
    <n v="150.13999999999999"/>
    <x v="3"/>
    <x v="1"/>
    <x v="200"/>
  </r>
  <r>
    <x v="201"/>
    <x v="118"/>
    <s v="Credit Card"/>
    <x v="1"/>
    <x v="2"/>
    <s v="Uber Eats"/>
    <n v="51.33"/>
    <x v="3"/>
    <x v="1"/>
    <x v="201"/>
  </r>
  <r>
    <x v="202"/>
    <x v="118"/>
    <s v="Checking"/>
    <x v="1"/>
    <x v="4"/>
    <s v="Netflix"/>
    <n v="19.28"/>
    <x v="4"/>
    <x v="1"/>
    <x v="202"/>
  </r>
  <r>
    <x v="203"/>
    <x v="119"/>
    <s v="Checking"/>
    <x v="1"/>
    <x v="4"/>
    <s v="Bowling Alley"/>
    <n v="70.52"/>
    <x v="3"/>
    <x v="1"/>
    <x v="203"/>
  </r>
  <r>
    <x v="204"/>
    <x v="120"/>
    <s v="Checking"/>
    <x v="1"/>
    <x v="2"/>
    <s v="Chipotle"/>
    <n v="65.09"/>
    <x v="4"/>
    <x v="1"/>
    <x v="204"/>
  </r>
  <r>
    <x v="205"/>
    <x v="120"/>
    <s v="Credit Card"/>
    <x v="1"/>
    <x v="6"/>
    <s v="Lyft"/>
    <n v="37.26"/>
    <x v="4"/>
    <x v="1"/>
    <x v="205"/>
  </r>
  <r>
    <x v="206"/>
    <x v="121"/>
    <s v="Checking"/>
    <x v="0"/>
    <x v="0"/>
    <s v="Company Payroll"/>
    <n v="4007.26"/>
    <x v="0"/>
    <x v="0"/>
    <x v="206"/>
  </r>
  <r>
    <x v="207"/>
    <x v="121"/>
    <s v="Credit Card"/>
    <x v="1"/>
    <x v="2"/>
    <s v="Olive Garden"/>
    <n v="20.87"/>
    <x v="4"/>
    <x v="1"/>
    <x v="207"/>
  </r>
  <r>
    <x v="208"/>
    <x v="122"/>
    <s v="Checking"/>
    <x v="1"/>
    <x v="3"/>
    <s v="Trader Joe's"/>
    <n v="31.54"/>
    <x v="3"/>
    <x v="1"/>
    <x v="208"/>
  </r>
  <r>
    <x v="209"/>
    <x v="122"/>
    <s v="Credit Card"/>
    <x v="1"/>
    <x v="6"/>
    <s v="Metro Transit"/>
    <n v="18.53"/>
    <x v="4"/>
    <x v="1"/>
    <x v="209"/>
  </r>
  <r>
    <x v="210"/>
    <x v="123"/>
    <s v="Checking"/>
    <x v="1"/>
    <x v="2"/>
    <s v="Olive Garden"/>
    <n v="71.77"/>
    <x v="3"/>
    <x v="1"/>
    <x v="210"/>
  </r>
  <r>
    <x v="211"/>
    <x v="124"/>
    <s v="Checking"/>
    <x v="1"/>
    <x v="3"/>
    <s v="Trader Joe's"/>
    <n v="24.88"/>
    <x v="3"/>
    <x v="1"/>
    <x v="211"/>
  </r>
  <r>
    <x v="212"/>
    <x v="124"/>
    <s v="Credit Card"/>
    <x v="1"/>
    <x v="6"/>
    <s v="Uber"/>
    <n v="42"/>
    <x v="4"/>
    <x v="1"/>
    <x v="212"/>
  </r>
  <r>
    <x v="213"/>
    <x v="125"/>
    <s v="Checking"/>
    <x v="1"/>
    <x v="5"/>
    <s v="Cell Phone Bill"/>
    <n v="157.69"/>
    <x v="1"/>
    <x v="0"/>
    <x v="213"/>
  </r>
  <r>
    <x v="214"/>
    <x v="125"/>
    <s v="Credit Card"/>
    <x v="1"/>
    <x v="3"/>
    <s v="Whole Foods"/>
    <n v="28.27"/>
    <x v="4"/>
    <x v="1"/>
    <x v="214"/>
  </r>
  <r>
    <x v="215"/>
    <x v="126"/>
    <s v="Checking"/>
    <x v="1"/>
    <x v="5"/>
    <s v="Water Utility"/>
    <n v="94.73"/>
    <x v="1"/>
    <x v="0"/>
    <x v="215"/>
  </r>
  <r>
    <x v="216"/>
    <x v="126"/>
    <s v="Checking"/>
    <x v="1"/>
    <x v="4"/>
    <s v="Spotify"/>
    <n v="47.43"/>
    <x v="3"/>
    <x v="1"/>
    <x v="216"/>
  </r>
  <r>
    <x v="217"/>
    <x v="127"/>
    <s v="Checking"/>
    <x v="1"/>
    <x v="5"/>
    <s v="Internet Provider"/>
    <n v="155.71"/>
    <x v="1"/>
    <x v="0"/>
    <x v="217"/>
  </r>
  <r>
    <x v="218"/>
    <x v="127"/>
    <s v="Credit Card"/>
    <x v="1"/>
    <x v="6"/>
    <s v="Parking Garage"/>
    <n v="53.96"/>
    <x v="4"/>
    <x v="1"/>
    <x v="218"/>
  </r>
  <r>
    <x v="219"/>
    <x v="128"/>
    <s v="Checking"/>
    <x v="1"/>
    <x v="6"/>
    <s v="Parking Garage"/>
    <n v="14.9"/>
    <x v="3"/>
    <x v="1"/>
    <x v="219"/>
  </r>
  <r>
    <x v="220"/>
    <x v="129"/>
    <s v="Checking"/>
    <x v="1"/>
    <x v="2"/>
    <s v="Chipotle"/>
    <n v="38.799999999999997"/>
    <x v="3"/>
    <x v="1"/>
    <x v="220"/>
  </r>
  <r>
    <x v="221"/>
    <x v="130"/>
    <s v="Credit Card"/>
    <x v="1"/>
    <x v="5"/>
    <s v="Internet Provider"/>
    <n v="227.34"/>
    <x v="1"/>
    <x v="0"/>
    <x v="221"/>
  </r>
  <r>
    <x v="222"/>
    <x v="130"/>
    <s v="Credit Card"/>
    <x v="1"/>
    <x v="2"/>
    <s v="Sushi Palace"/>
    <n v="42.67"/>
    <x v="4"/>
    <x v="1"/>
    <x v="222"/>
  </r>
  <r>
    <x v="223"/>
    <x v="130"/>
    <s v="Checking"/>
    <x v="1"/>
    <x v="4"/>
    <s v="Concert Tickets"/>
    <n v="40.21"/>
    <x v="3"/>
    <x v="1"/>
    <x v="223"/>
  </r>
  <r>
    <x v="224"/>
    <x v="131"/>
    <s v="Checking"/>
    <x v="1"/>
    <x v="2"/>
    <s v="Panera Bread"/>
    <n v="36.65"/>
    <x v="4"/>
    <x v="1"/>
    <x v="224"/>
  </r>
  <r>
    <x v="225"/>
    <x v="132"/>
    <s v="Credit Card"/>
    <x v="1"/>
    <x v="6"/>
    <s v="BP Gas"/>
    <n v="59"/>
    <x v="3"/>
    <x v="1"/>
    <x v="225"/>
  </r>
  <r>
    <x v="226"/>
    <x v="133"/>
    <s v="Checking"/>
    <x v="1"/>
    <x v="3"/>
    <s v="Safeway"/>
    <n v="134.05000000000001"/>
    <x v="4"/>
    <x v="1"/>
    <x v="226"/>
  </r>
  <r>
    <x v="227"/>
    <x v="133"/>
    <s v="Checking"/>
    <x v="1"/>
    <x v="6"/>
    <s v="BP Gas"/>
    <n v="56"/>
    <x v="4"/>
    <x v="1"/>
    <x v="227"/>
  </r>
  <r>
    <x v="228"/>
    <x v="133"/>
    <s v="Checking"/>
    <x v="1"/>
    <x v="4"/>
    <s v="AMC Theaters"/>
    <n v="54.91"/>
    <x v="4"/>
    <x v="1"/>
    <x v="228"/>
  </r>
  <r>
    <x v="229"/>
    <x v="134"/>
    <s v="Checking"/>
    <x v="0"/>
    <x v="0"/>
    <s v="Company Payroll"/>
    <n v="4894.96"/>
    <x v="0"/>
    <x v="0"/>
    <x v="229"/>
  </r>
  <r>
    <x v="230"/>
    <x v="135"/>
    <s v="Checking"/>
    <x v="1"/>
    <x v="6"/>
    <s v="Uber"/>
    <n v="41.52"/>
    <x v="4"/>
    <x v="1"/>
    <x v="230"/>
  </r>
  <r>
    <x v="231"/>
    <x v="136"/>
    <s v="Checking"/>
    <x v="1"/>
    <x v="2"/>
    <s v="Uber Eats"/>
    <n v="45.7"/>
    <x v="4"/>
    <x v="1"/>
    <x v="231"/>
  </r>
  <r>
    <x v="232"/>
    <x v="136"/>
    <s v="Credit Card"/>
    <x v="1"/>
    <x v="6"/>
    <s v="BP Gas"/>
    <n v="26.57"/>
    <x v="2"/>
    <x v="1"/>
    <x v="232"/>
  </r>
  <r>
    <x v="233"/>
    <x v="137"/>
    <s v="Checking"/>
    <x v="1"/>
    <x v="3"/>
    <s v="Kroger"/>
    <n v="171.77"/>
    <x v="3"/>
    <x v="1"/>
    <x v="233"/>
  </r>
  <r>
    <x v="234"/>
    <x v="138"/>
    <s v="Credit Card"/>
    <x v="1"/>
    <x v="6"/>
    <s v="EZ Pass Toll"/>
    <n v="28.58"/>
    <x v="3"/>
    <x v="1"/>
    <x v="234"/>
  </r>
  <r>
    <x v="235"/>
    <x v="139"/>
    <s v="Checking"/>
    <x v="1"/>
    <x v="2"/>
    <s v="Panera Bread"/>
    <n v="22.13"/>
    <x v="2"/>
    <x v="1"/>
    <x v="235"/>
  </r>
  <r>
    <x v="236"/>
    <x v="140"/>
    <s v="Checking"/>
    <x v="1"/>
    <x v="2"/>
    <s v="Panera Bread"/>
    <n v="70.55"/>
    <x v="2"/>
    <x v="1"/>
    <x v="236"/>
  </r>
  <r>
    <x v="237"/>
    <x v="140"/>
    <s v="Credit Card"/>
    <x v="1"/>
    <x v="6"/>
    <s v="Lyft"/>
    <n v="15.56"/>
    <x v="3"/>
    <x v="1"/>
    <x v="237"/>
  </r>
  <r>
    <x v="238"/>
    <x v="141"/>
    <s v="Credit Card"/>
    <x v="1"/>
    <x v="2"/>
    <s v="DoorDash"/>
    <n v="68.099999999999994"/>
    <x v="3"/>
    <x v="1"/>
    <x v="238"/>
  </r>
  <r>
    <x v="239"/>
    <x v="142"/>
    <s v="Checking"/>
    <x v="1"/>
    <x v="2"/>
    <s v="Olive Garden"/>
    <n v="18.84"/>
    <x v="2"/>
    <x v="1"/>
    <x v="239"/>
  </r>
  <r>
    <x v="240"/>
    <x v="143"/>
    <s v="Credit Card"/>
    <x v="1"/>
    <x v="3"/>
    <s v="Safeway"/>
    <n v="46.62"/>
    <x v="4"/>
    <x v="1"/>
    <x v="240"/>
  </r>
  <r>
    <x v="241"/>
    <x v="143"/>
    <s v="Credit Card"/>
    <x v="1"/>
    <x v="2"/>
    <s v="Olive Garden"/>
    <n v="20.54"/>
    <x v="2"/>
    <x v="1"/>
    <x v="241"/>
  </r>
  <r>
    <x v="242"/>
    <x v="144"/>
    <s v="Checking"/>
    <x v="1"/>
    <x v="2"/>
    <s v="Panera Bread"/>
    <n v="15.37"/>
    <x v="3"/>
    <x v="1"/>
    <x v="242"/>
  </r>
  <r>
    <x v="243"/>
    <x v="145"/>
    <s v="Checking"/>
    <x v="1"/>
    <x v="6"/>
    <s v="Uber"/>
    <n v="46.4"/>
    <x v="3"/>
    <x v="1"/>
    <x v="243"/>
  </r>
  <r>
    <x v="244"/>
    <x v="146"/>
    <s v="Checking"/>
    <x v="1"/>
    <x v="6"/>
    <s v="Shell Gas"/>
    <n v="29"/>
    <x v="3"/>
    <x v="1"/>
    <x v="244"/>
  </r>
  <r>
    <x v="245"/>
    <x v="147"/>
    <s v="Checking"/>
    <x v="1"/>
    <x v="3"/>
    <s v="Trader Joe's"/>
    <n v="177.3"/>
    <x v="3"/>
    <x v="1"/>
    <x v="245"/>
  </r>
  <r>
    <x v="246"/>
    <x v="148"/>
    <s v="Credit Card"/>
    <x v="1"/>
    <x v="2"/>
    <s v="Local Bistro"/>
    <n v="68.02"/>
    <x v="4"/>
    <x v="1"/>
    <x v="246"/>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r>
    <x v="247"/>
    <x v="149"/>
    <m/>
    <x v="2"/>
    <x v="8"/>
    <m/>
    <m/>
    <x v="7"/>
    <x v="2"/>
    <x v="24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7">
  <r>
    <x v="0"/>
    <d v="2024-01-01T00:00:00"/>
    <s v="Checking"/>
    <s v="Income"/>
    <s v="Salary"/>
    <s v="Employer Direct Deposit"/>
    <n v="4039.07"/>
    <s v="Direct Deposit"/>
    <s v="Yes"/>
    <n v="9039.07"/>
  </r>
  <r>
    <x v="1"/>
    <d v="2024-01-01T00:00:00"/>
    <s v="Checking"/>
    <s v="Expense"/>
    <s v="Rent"/>
    <s v="Apartment Complex"/>
    <n v="1908.59"/>
    <s v="Auto-Pay"/>
    <s v="Yes"/>
    <n v="7130.48"/>
  </r>
  <r>
    <x v="2"/>
    <d v="2024-01-01T00:00:00"/>
    <s v="Checking"/>
    <s v="Expense"/>
    <s v="Dining"/>
    <s v="Sushi Palace"/>
    <n v="16.43"/>
    <s v="Cash"/>
    <s v="No"/>
    <n v="7114.05"/>
  </r>
  <r>
    <x v="3"/>
    <d v="2024-01-02T00:00:00"/>
    <s v="Checking"/>
    <s v="Expense"/>
    <s v="Groceries"/>
    <s v="Walmart Grocery"/>
    <n v="176.78"/>
    <s v="Credit"/>
    <s v="No"/>
    <n v="6937.27"/>
  </r>
  <r>
    <x v="4"/>
    <d v="2024-01-03T00:00:00"/>
    <s v="Checking"/>
    <s v="Expense"/>
    <s v="Dining"/>
    <s v="McDonald's"/>
    <n v="35.99"/>
    <s v="Credit"/>
    <s v="No"/>
    <n v="6901.28"/>
  </r>
  <r>
    <x v="5"/>
    <d v="2024-01-04T00:00:00"/>
    <s v="Checking"/>
    <s v="Expense"/>
    <s v="Groceries"/>
    <s v="Walmart Grocery"/>
    <n v="16.920000000000002"/>
    <s v="Debit"/>
    <s v="No"/>
    <n v="6884.36"/>
  </r>
  <r>
    <x v="6"/>
    <d v="2024-01-04T00:00:00"/>
    <s v="Credit Card"/>
    <s v="Expense"/>
    <s v="Dining"/>
    <s v="Olive Garden"/>
    <n v="58.45"/>
    <s v="Credit"/>
    <s v="No"/>
    <n v="6825.91"/>
  </r>
  <r>
    <x v="7"/>
    <d v="2024-01-04T00:00:00"/>
    <s v="Credit Card"/>
    <s v="Expense"/>
    <s v="Entertainment"/>
    <s v="Netflix"/>
    <n v="64.040000000000006"/>
    <s v="Debit"/>
    <s v="No"/>
    <n v="6761.87"/>
  </r>
  <r>
    <x v="8"/>
    <d v="2024-01-06T00:00:00"/>
    <s v="Credit Card"/>
    <s v="Expense"/>
    <s v="Dining"/>
    <s v="Olive Garden"/>
    <n v="65.92"/>
    <s v="Credit"/>
    <s v="No"/>
    <n v="6695.95"/>
  </r>
  <r>
    <x v="9"/>
    <d v="2024-01-07T00:00:00"/>
    <s v="Checking"/>
    <s v="Expense"/>
    <s v="Utilities"/>
    <s v="Cell Phone Bill"/>
    <n v="134.22999999999999"/>
    <s v="Auto-Pay"/>
    <s v="Yes"/>
    <n v="6561.72"/>
  </r>
  <r>
    <x v="10"/>
    <d v="2024-01-07T00:00:00"/>
    <s v="Credit Card"/>
    <s v="Expense"/>
    <s v="Dining"/>
    <s v="McDonald's"/>
    <n v="83.07"/>
    <s v="Cash"/>
    <s v="No"/>
    <n v="6478.65"/>
  </r>
  <r>
    <x v="11"/>
    <d v="2024-01-07T00:00:00"/>
    <s v="Credit Card"/>
    <s v="Expense"/>
    <s v="Transport"/>
    <s v="Uber"/>
    <n v="40.6"/>
    <s v="Debit"/>
    <s v="No"/>
    <n v="6438.05"/>
  </r>
  <r>
    <x v="12"/>
    <d v="2024-01-08T00:00:00"/>
    <s v="Credit Card"/>
    <s v="Expense"/>
    <s v="Utilities"/>
    <s v="Gas Company"/>
    <n v="177.29"/>
    <s v="Auto-Pay"/>
    <s v="Yes"/>
    <n v="6260.76"/>
  </r>
  <r>
    <x v="13"/>
    <d v="2024-01-08T00:00:00"/>
    <s v="Credit Card"/>
    <s v="Expense"/>
    <s v="Groceries"/>
    <s v="Trader Joe's"/>
    <n v="175.53"/>
    <s v="Credit"/>
    <s v="No"/>
    <n v="6085.23"/>
  </r>
  <r>
    <x v="14"/>
    <d v="2024-01-10T00:00:00"/>
    <s v="Checking"/>
    <s v="Expense"/>
    <s v="Dining"/>
    <s v="Uber Eats"/>
    <n v="84.46"/>
    <s v="Cash"/>
    <s v="No"/>
    <n v="6000.77"/>
  </r>
  <r>
    <x v="15"/>
    <d v="2024-01-10T00:00:00"/>
    <s v="Checking"/>
    <s v="Expense"/>
    <s v="Transport"/>
    <s v="EZ Pass Toll"/>
    <n v="58.59"/>
    <s v="Debit"/>
    <s v="No"/>
    <n v="5942.18"/>
  </r>
  <r>
    <x v="16"/>
    <d v="2024-01-11T00:00:00"/>
    <s v="Credit Card"/>
    <s v="Expense"/>
    <s v="Groceries"/>
    <s v="Whole Foods"/>
    <n v="178.74"/>
    <s v="Debit"/>
    <s v="No"/>
    <n v="5763.44"/>
  </r>
  <r>
    <x v="17"/>
    <d v="2024-01-11T00:00:00"/>
    <s v="Checking"/>
    <s v="Expense"/>
    <s v="Transport"/>
    <s v="BP Gas"/>
    <n v="45.57"/>
    <s v="Cash"/>
    <s v="No"/>
    <n v="5717.87"/>
  </r>
  <r>
    <x v="18"/>
    <d v="2024-01-12T00:00:00"/>
    <s v="Credit Card"/>
    <s v="Expense"/>
    <s v="Transport"/>
    <s v="Uber"/>
    <n v="36.92"/>
    <s v="Debit"/>
    <s v="No"/>
    <n v="5680.95"/>
  </r>
  <r>
    <x v="19"/>
    <d v="2024-01-13T00:00:00"/>
    <s v="Credit Card"/>
    <s v="Expense"/>
    <s v="Dining"/>
    <s v="Olive Garden"/>
    <n v="18.190000000000001"/>
    <s v="Cash"/>
    <s v="No"/>
    <n v="5662.76"/>
  </r>
  <r>
    <x v="20"/>
    <d v="2024-01-14T00:00:00"/>
    <s v="Checking"/>
    <s v="Expense"/>
    <s v="Entertainment"/>
    <s v="Concert Tickets"/>
    <n v="29.12"/>
    <s v="Debit"/>
    <s v="No"/>
    <n v="5633.64"/>
  </r>
  <r>
    <x v="21"/>
    <d v="2024-01-15T00:00:00"/>
    <s v="Checking"/>
    <s v="Income"/>
    <s v="Salary"/>
    <s v="Employer Direct Deposit"/>
    <n v="4854.8999999999996"/>
    <s v="Direct Deposit"/>
    <s v="Yes"/>
    <n v="10488.54"/>
  </r>
  <r>
    <x v="22"/>
    <d v="2024-01-15T00:00:00"/>
    <s v="Checking"/>
    <s v="Expense"/>
    <s v="Dining"/>
    <s v="McDonald's"/>
    <n v="33.94"/>
    <s v="Credit"/>
    <s v="No"/>
    <n v="10454.6"/>
  </r>
  <r>
    <x v="23"/>
    <d v="2024-01-16T00:00:00"/>
    <s v="Checking"/>
    <s v="Expense"/>
    <s v="Groceries"/>
    <s v="Walmart Grocery"/>
    <n v="179.51"/>
    <s v="Credit"/>
    <s v="No"/>
    <n v="10275.09"/>
  </r>
  <r>
    <x v="24"/>
    <d v="2024-01-16T00:00:00"/>
    <s v="Checking"/>
    <s v="Expense"/>
    <s v="Transport"/>
    <s v="Shell Gas"/>
    <n v="11.88"/>
    <s v="Debit"/>
    <s v="No"/>
    <n v="10263.209999999999"/>
  </r>
  <r>
    <x v="25"/>
    <d v="2024-01-17T00:00:00"/>
    <s v="Credit Card"/>
    <s v="Expense"/>
    <s v="Dining"/>
    <s v="Olive Garden"/>
    <n v="80.02"/>
    <s v="Cash"/>
    <s v="No"/>
    <n v="10183.19"/>
  </r>
  <r>
    <x v="26"/>
    <d v="2024-01-19T00:00:00"/>
    <s v="Checking"/>
    <s v="Expense"/>
    <s v="Transport"/>
    <s v="BP Gas"/>
    <n v="51.15"/>
    <s v="Credit"/>
    <s v="No"/>
    <n v="10132.040000000001"/>
  </r>
  <r>
    <x v="27"/>
    <d v="2024-01-20T00:00:00"/>
    <s v="Checking"/>
    <s v="Expense"/>
    <s v="Transport"/>
    <s v="EZ Pass Toll"/>
    <n v="34.47"/>
    <s v="Debit"/>
    <s v="No"/>
    <n v="10097.57"/>
  </r>
  <r>
    <x v="28"/>
    <d v="2024-01-21T00:00:00"/>
    <s v="Credit Card"/>
    <s v="Expense"/>
    <s v="Groceries"/>
    <s v="Costco"/>
    <n v="108.4"/>
    <s v="Credit"/>
    <s v="No"/>
    <n v="9989.17"/>
  </r>
  <r>
    <x v="29"/>
    <d v="2024-01-23T00:00:00"/>
    <s v="Credit Card"/>
    <s v="Expense"/>
    <s v="Dining"/>
    <s v="Panera Bread"/>
    <n v="68.97"/>
    <s v="Credit"/>
    <s v="No"/>
    <n v="9920.2000000000007"/>
  </r>
  <r>
    <x v="30"/>
    <d v="2024-01-23T00:00:00"/>
    <s v="Checking"/>
    <s v="Expense"/>
    <s v="Entertainment"/>
    <s v="Concert Tickets"/>
    <n v="57.1"/>
    <s v="Debit"/>
    <s v="No"/>
    <n v="9863.1"/>
  </r>
  <r>
    <x v="31"/>
    <d v="2024-01-24T00:00:00"/>
    <s v="Checking"/>
    <s v="Expense"/>
    <s v="Groceries"/>
    <s v="Kroger"/>
    <n v="33.840000000000003"/>
    <s v="Debit"/>
    <s v="No"/>
    <n v="9829.26"/>
  </r>
  <r>
    <x v="32"/>
    <d v="2024-01-25T00:00:00"/>
    <s v="Checking"/>
    <s v="Expense"/>
    <s v="Dining"/>
    <s v="Panera Bread"/>
    <n v="9.59"/>
    <s v="Debit"/>
    <s v="No"/>
    <n v="9819.67"/>
  </r>
  <r>
    <x v="33"/>
    <d v="2024-01-25T00:00:00"/>
    <s v="Credit Card"/>
    <s v="Expense"/>
    <s v="Transport"/>
    <s v="Metro Transit"/>
    <n v="22.64"/>
    <s v="Debit"/>
    <s v="No"/>
    <n v="9797.0300000000007"/>
  </r>
  <r>
    <x v="34"/>
    <d v="2024-01-26T00:00:00"/>
    <s v="Credit Card"/>
    <s v="Expense"/>
    <s v="Groceries"/>
    <s v="Whole Foods"/>
    <n v="151"/>
    <s v="Credit"/>
    <s v="No"/>
    <n v="9646.0300000000007"/>
  </r>
  <r>
    <x v="35"/>
    <d v="2024-01-26T00:00:00"/>
    <s v="Checking"/>
    <s v="Expense"/>
    <s v="Dining"/>
    <s v="Olive Garden"/>
    <n v="66.37"/>
    <s v="Cash"/>
    <s v="No"/>
    <n v="9579.66"/>
  </r>
  <r>
    <x v="36"/>
    <d v="2024-01-27T00:00:00"/>
    <s v="Checking"/>
    <s v="Expense"/>
    <s v="Transport"/>
    <s v="Metro Transit"/>
    <n v="45.25"/>
    <s v="Credit"/>
    <s v="No"/>
    <n v="9534.41"/>
  </r>
  <r>
    <x v="37"/>
    <d v="2024-01-28T00:00:00"/>
    <s v="Credit Card"/>
    <s v="Expense"/>
    <s v="Dining"/>
    <s v="Chipotle"/>
    <n v="85"/>
    <s v="Debit"/>
    <s v="No"/>
    <n v="9449.41"/>
  </r>
  <r>
    <x v="38"/>
    <d v="2024-01-28T00:00:00"/>
    <s v="Credit Card"/>
    <s v="Expense"/>
    <s v="Entertainment"/>
    <s v="AMC Theaters"/>
    <n v="40.729999999999997"/>
    <s v="Credit"/>
    <s v="No"/>
    <n v="9408.68"/>
  </r>
  <r>
    <x v="39"/>
    <d v="2024-01-29T00:00:00"/>
    <s v="Credit Card"/>
    <s v="Expense"/>
    <s v="Transport"/>
    <s v="Lyft"/>
    <n v="39.04"/>
    <s v="Cash"/>
    <s v="No"/>
    <n v="9369.64"/>
  </r>
  <r>
    <x v="40"/>
    <d v="2024-01-30T00:00:00"/>
    <s v="Checking"/>
    <s v="Expense"/>
    <s v="Dining"/>
    <s v="Olive Garden"/>
    <n v="39.03"/>
    <s v="Credit"/>
    <s v="No"/>
    <n v="9330.61"/>
  </r>
  <r>
    <x v="41"/>
    <d v="2024-01-31T00:00:00"/>
    <s v="Checking"/>
    <s v="Expense"/>
    <s v="Transport"/>
    <s v="BP Gas"/>
    <n v="31.67"/>
    <s v="Cash"/>
    <s v="No"/>
    <n v="9298.94"/>
  </r>
  <r>
    <x v="42"/>
    <d v="2024-02-01T00:00:00"/>
    <s v="Checking"/>
    <s v="Income"/>
    <s v="Salary"/>
    <s v="Employer Direct Deposit"/>
    <n v="4340.54"/>
    <s v="Direct Deposit"/>
    <s v="Yes"/>
    <n v="13639.48"/>
  </r>
  <r>
    <x v="43"/>
    <d v="2024-02-01T00:00:00"/>
    <s v="Checking"/>
    <s v="Expense"/>
    <s v="Rent"/>
    <s v="Property Management LLC"/>
    <n v="1394.28"/>
    <s v="Auto-Pay"/>
    <s v="Yes"/>
    <n v="12245.2"/>
  </r>
  <r>
    <x v="44"/>
    <d v="2024-02-03T00:00:00"/>
    <s v="Credit Card"/>
    <s v="Expense"/>
    <s v="Dining"/>
    <s v="DoorDash"/>
    <n v="52.21"/>
    <s v="Cash"/>
    <s v="No"/>
    <n v="12192.99"/>
  </r>
  <r>
    <x v="45"/>
    <d v="2024-02-04T00:00:00"/>
    <s v="Checking"/>
    <s v="Expense"/>
    <s v="Dining"/>
    <s v="Uber Eats"/>
    <n v="79.680000000000007"/>
    <s v="Debit"/>
    <s v="No"/>
    <n v="12113.31"/>
  </r>
  <r>
    <x v="46"/>
    <d v="2024-02-04T00:00:00"/>
    <s v="Credit Card"/>
    <s v="Expense"/>
    <s v="Transport"/>
    <s v="Shell Gas"/>
    <n v="41.71"/>
    <s v="Credit"/>
    <s v="No"/>
    <n v="12071.6"/>
  </r>
  <r>
    <x v="47"/>
    <d v="2024-02-07T00:00:00"/>
    <s v="Credit Card"/>
    <s v="Expense"/>
    <s v="Dining"/>
    <s v="Chipotle"/>
    <n v="20.91"/>
    <s v="Credit"/>
    <s v="No"/>
    <n v="12050.69"/>
  </r>
  <r>
    <x v="48"/>
    <d v="2024-02-08T00:00:00"/>
    <s v="Credit Card"/>
    <s v="Expense"/>
    <s v="Utilities"/>
    <s v="Electric Company"/>
    <n v="62.05"/>
    <s v="Auto-Pay"/>
    <s v="Yes"/>
    <n v="11988.64"/>
  </r>
  <r>
    <x v="49"/>
    <d v="2024-02-09T00:00:00"/>
    <s v="Checking"/>
    <s v="Expense"/>
    <s v="Utilities"/>
    <s v="Cell Phone Bill"/>
    <n v="163.56"/>
    <s v="Auto-Pay"/>
    <s v="Yes"/>
    <n v="11825.08"/>
  </r>
  <r>
    <x v="50"/>
    <d v="2024-02-09T00:00:00"/>
    <s v="Credit Card"/>
    <s v="Expense"/>
    <s v="Transport"/>
    <s v="Parking Garage"/>
    <n v="55.59"/>
    <s v="Cash"/>
    <s v="No"/>
    <n v="11769.49"/>
  </r>
  <r>
    <x v="51"/>
    <d v="2024-02-10T00:00:00"/>
    <s v="Checking"/>
    <s v="Income"/>
    <s v="Freelance"/>
    <s v="Upwork Transfer"/>
    <n v="927.15"/>
    <s v="Transfer"/>
    <s v="No"/>
    <n v="12696.64"/>
  </r>
  <r>
    <x v="52"/>
    <d v="2024-02-10T00:00:00"/>
    <s v="Credit Card"/>
    <s v="Expense"/>
    <s v="Utilities"/>
    <s v="Cell Phone Bill"/>
    <n v="158.62"/>
    <s v="Auto-Pay"/>
    <s v="Yes"/>
    <n v="12538.02"/>
  </r>
  <r>
    <x v="53"/>
    <d v="2024-02-11T00:00:00"/>
    <s v="Checking"/>
    <s v="Expense"/>
    <s v="Groceries"/>
    <s v="Walmart Grocery"/>
    <n v="178.33"/>
    <s v="Debit"/>
    <s v="No"/>
    <n v="12359.69"/>
  </r>
  <r>
    <x v="54"/>
    <d v="2024-02-12T00:00:00"/>
    <s v="Checking"/>
    <s v="Expense"/>
    <s v="Groceries"/>
    <s v="Safeway"/>
    <n v="93.21"/>
    <s v="Credit"/>
    <s v="No"/>
    <n v="12266.48"/>
  </r>
  <r>
    <x v="55"/>
    <d v="2024-02-12T00:00:00"/>
    <s v="Checking"/>
    <s v="Expense"/>
    <s v="Transport"/>
    <s v="BP Gas"/>
    <n v="28.82"/>
    <s v="Cash"/>
    <s v="No"/>
    <n v="12237.66"/>
  </r>
  <r>
    <x v="56"/>
    <d v="2024-02-14T00:00:00"/>
    <s v="Checking"/>
    <s v="Expense"/>
    <s v="Groceries"/>
    <s v="Aldi"/>
    <n v="48.96"/>
    <s v="Credit"/>
    <s v="No"/>
    <n v="12188.7"/>
  </r>
  <r>
    <x v="57"/>
    <d v="2024-02-14T00:00:00"/>
    <s v="Checking"/>
    <s v="Expense"/>
    <s v="Dining"/>
    <s v="Chipotle"/>
    <n v="11.16"/>
    <s v="Credit"/>
    <s v="No"/>
    <n v="12177.54"/>
  </r>
  <r>
    <x v="58"/>
    <d v="2024-02-15T00:00:00"/>
    <s v="Checking"/>
    <s v="Income"/>
    <s v="Salary"/>
    <s v="Employer Direct Deposit"/>
    <n v="4671.47"/>
    <s v="Direct Deposit"/>
    <s v="Yes"/>
    <n v="16849.009999999998"/>
  </r>
  <r>
    <x v="59"/>
    <d v="2024-02-15T00:00:00"/>
    <s v="Credit Card"/>
    <s v="Expense"/>
    <s v="Groceries"/>
    <s v="Trader Joe's"/>
    <n v="143.03"/>
    <s v="Debit"/>
    <s v="No"/>
    <n v="16705.98"/>
  </r>
  <r>
    <x v="60"/>
    <d v="2024-02-16T00:00:00"/>
    <s v="Checking"/>
    <s v="Expense"/>
    <s v="Groceries"/>
    <s v="Aldi"/>
    <n v="163.32"/>
    <s v="Credit"/>
    <s v="No"/>
    <n v="16542.66"/>
  </r>
  <r>
    <x v="61"/>
    <d v="2024-02-17T00:00:00"/>
    <s v="Credit Card"/>
    <s v="Expense"/>
    <s v="Groceries"/>
    <s v="Costco"/>
    <n v="42.27"/>
    <s v="Debit"/>
    <s v="No"/>
    <n v="16500.39"/>
  </r>
  <r>
    <x v="62"/>
    <d v="2024-02-17T00:00:00"/>
    <s v="Credit Card"/>
    <s v="Expense"/>
    <s v="Dining"/>
    <s v="Local Bistro"/>
    <n v="75.11"/>
    <s v="Cash"/>
    <s v="No"/>
    <n v="16425.28"/>
  </r>
  <r>
    <x v="63"/>
    <d v="2024-02-18T00:00:00"/>
    <s v="Savings"/>
    <s v="Income"/>
    <s v="Freelance"/>
    <s v="Fiverr Earnings"/>
    <n v="1257.07"/>
    <s v="Transfer"/>
    <s v="No"/>
    <n v="17682.349999999999"/>
  </r>
  <r>
    <x v="64"/>
    <d v="2024-02-18T00:00:00"/>
    <s v="Credit Card"/>
    <s v="Expense"/>
    <s v="Groceries"/>
    <s v="Whole Foods"/>
    <n v="164.44"/>
    <s v="Credit"/>
    <s v="No"/>
    <n v="17517.91"/>
  </r>
  <r>
    <x v="65"/>
    <d v="2024-02-19T00:00:00"/>
    <s v="Credit Card"/>
    <s v="Expense"/>
    <s v="Groceries"/>
    <s v="Aldi"/>
    <n v="172.77"/>
    <s v="Debit"/>
    <s v="No"/>
    <n v="17345.14"/>
  </r>
  <r>
    <x v="66"/>
    <d v="2024-02-19T00:00:00"/>
    <s v="Checking"/>
    <s v="Expense"/>
    <s v="Transport"/>
    <s v="Parking Garage"/>
    <n v="9.76"/>
    <s v="Debit"/>
    <s v="No"/>
    <n v="17335.38"/>
  </r>
  <r>
    <x v="67"/>
    <d v="2024-02-21T00:00:00"/>
    <s v="Checking"/>
    <s v="Expense"/>
    <s v="Groceries"/>
    <s v="Kroger"/>
    <n v="47.56"/>
    <s v="Debit"/>
    <s v="No"/>
    <n v="17287.82"/>
  </r>
  <r>
    <x v="68"/>
    <d v="2024-02-21T00:00:00"/>
    <s v="Credit Card"/>
    <s v="Expense"/>
    <s v="Dining"/>
    <s v="Sushi Palace"/>
    <n v="71.489999999999995"/>
    <s v="Debit"/>
    <s v="No"/>
    <n v="17216.330000000002"/>
  </r>
  <r>
    <x v="69"/>
    <d v="2024-02-22T00:00:00"/>
    <s v="Checking"/>
    <s v="Expense"/>
    <s v="Groceries"/>
    <s v="Costco"/>
    <n v="142.13"/>
    <s v="Debit"/>
    <s v="No"/>
    <n v="17074.2"/>
  </r>
  <r>
    <x v="70"/>
    <d v="2024-02-22T00:00:00"/>
    <s v="Checking"/>
    <s v="Expense"/>
    <s v="Dining"/>
    <s v="Starbucks"/>
    <n v="23.46"/>
    <s v="Debit"/>
    <s v="No"/>
    <n v="17050.740000000002"/>
  </r>
  <r>
    <x v="71"/>
    <d v="2024-02-22T00:00:00"/>
    <s v="Checking"/>
    <s v="Expense"/>
    <s v="Entertainment"/>
    <s v="Netflix"/>
    <n v="32.94"/>
    <s v="Debit"/>
    <s v="No"/>
    <n v="17017.8"/>
  </r>
  <r>
    <x v="72"/>
    <d v="2024-02-23T00:00:00"/>
    <s v="Checking"/>
    <s v="Expense"/>
    <s v="Dining"/>
    <s v="Local Bistro"/>
    <n v="69.7"/>
    <s v="Cash"/>
    <s v="No"/>
    <n v="16948.099999999999"/>
  </r>
  <r>
    <x v="73"/>
    <d v="2024-02-24T00:00:00"/>
    <s v="Credit Card"/>
    <s v="Expense"/>
    <s v="Groceries"/>
    <s v="Aldi"/>
    <n v="107.26"/>
    <s v="Credit"/>
    <s v="No"/>
    <n v="16840.84"/>
  </r>
  <r>
    <x v="74"/>
    <d v="2024-02-24T00:00:00"/>
    <s v="Credit Card"/>
    <s v="Expense"/>
    <s v="Dining"/>
    <s v="Local Bistro"/>
    <n v="53.55"/>
    <s v="Debit"/>
    <s v="No"/>
    <n v="16787.29"/>
  </r>
  <r>
    <x v="75"/>
    <d v="2024-02-25T00:00:00"/>
    <s v="Checking"/>
    <s v="Expense"/>
    <s v="Groceries"/>
    <s v="Whole Foods"/>
    <n v="111.13"/>
    <s v="Credit"/>
    <s v="No"/>
    <n v="16676.16"/>
  </r>
  <r>
    <x v="76"/>
    <d v="2024-02-27T00:00:00"/>
    <s v="Checking"/>
    <s v="Expense"/>
    <s v="Dining"/>
    <s v="McDonald's"/>
    <n v="70.27"/>
    <s v="Debit"/>
    <s v="No"/>
    <n v="16605.89"/>
  </r>
  <r>
    <x v="77"/>
    <d v="2024-02-27T00:00:00"/>
    <s v="Credit Card"/>
    <s v="Expense"/>
    <s v="Transport"/>
    <s v="Shell Gas"/>
    <n v="36.67"/>
    <s v="Debit"/>
    <s v="No"/>
    <n v="16569.22"/>
  </r>
  <r>
    <x v="78"/>
    <d v="2024-03-01T00:00:00"/>
    <s v="Checking"/>
    <s v="Income"/>
    <s v="Salary"/>
    <s v="Employer Direct Deposit"/>
    <n v="4433.3599999999997"/>
    <s v="Direct Deposit"/>
    <s v="Yes"/>
    <n v="21002.58"/>
  </r>
  <r>
    <x v="79"/>
    <d v="2024-03-01T00:00:00"/>
    <s v="Checking"/>
    <s v="Expense"/>
    <s v="Rent"/>
    <s v="Apartment Complex"/>
    <n v="1639.19"/>
    <s v="Auto-Pay"/>
    <s v="Yes"/>
    <n v="19363.39"/>
  </r>
  <r>
    <x v="80"/>
    <d v="2024-03-01T00:00:00"/>
    <s v="Checking"/>
    <s v="Expense"/>
    <s v="Transport"/>
    <s v="Shell Gas"/>
    <n v="10.1"/>
    <s v="Credit"/>
    <s v="No"/>
    <n v="19353.29"/>
  </r>
  <r>
    <x v="81"/>
    <d v="2024-03-01T00:00:00"/>
    <s v="Credit Card"/>
    <s v="Expense"/>
    <s v="Entertainment"/>
    <s v="Concert Tickets"/>
    <n v="56.64"/>
    <s v="Credit"/>
    <s v="No"/>
    <n v="19296.650000000001"/>
  </r>
  <r>
    <x v="82"/>
    <d v="2024-03-02T00:00:00"/>
    <s v="Checking"/>
    <s v="Expense"/>
    <s v="Transport"/>
    <s v="Parking Garage"/>
    <n v="35.4"/>
    <s v="Cash"/>
    <s v="No"/>
    <n v="19261.25"/>
  </r>
  <r>
    <x v="83"/>
    <d v="2024-03-03T00:00:00"/>
    <s v="Credit Card"/>
    <s v="Expense"/>
    <s v="Transport"/>
    <s v="BP Gas"/>
    <n v="56.46"/>
    <s v="Cash"/>
    <s v="No"/>
    <n v="19204.79"/>
  </r>
  <r>
    <x v="84"/>
    <d v="2024-03-04T00:00:00"/>
    <s v="Checking"/>
    <s v="Expense"/>
    <s v="Dining"/>
    <s v="Local Bistro"/>
    <n v="24.18"/>
    <s v="Debit"/>
    <s v="No"/>
    <n v="19180.61"/>
  </r>
  <r>
    <x v="85"/>
    <d v="2024-03-05T00:00:00"/>
    <s v="Checking"/>
    <s v="Expense"/>
    <s v="Utilities"/>
    <s v="Water Utility"/>
    <n v="123.64"/>
    <s v="Auto-Pay"/>
    <s v="Yes"/>
    <n v="19056.97"/>
  </r>
  <r>
    <x v="86"/>
    <d v="2024-03-06T00:00:00"/>
    <s v="Checking"/>
    <s v="Expense"/>
    <s v="Utilities"/>
    <s v="Electric Company"/>
    <n v="189.34"/>
    <s v="Auto-Pay"/>
    <s v="Yes"/>
    <n v="18867.63"/>
  </r>
  <r>
    <x v="87"/>
    <d v="2024-03-06T00:00:00"/>
    <s v="Checking"/>
    <s v="Expense"/>
    <s v="Groceries"/>
    <s v="Whole Foods"/>
    <n v="63.79"/>
    <s v="Credit"/>
    <s v="No"/>
    <n v="18803.84"/>
  </r>
  <r>
    <x v="88"/>
    <d v="2024-03-06T00:00:00"/>
    <s v="Checking"/>
    <s v="Expense"/>
    <s v="Dining"/>
    <s v="Sushi Palace"/>
    <n v="13.02"/>
    <s v="Credit"/>
    <s v="No"/>
    <n v="18790.82"/>
  </r>
  <r>
    <x v="89"/>
    <d v="2024-03-07T00:00:00"/>
    <s v="Credit Card"/>
    <s v="Expense"/>
    <s v="Entertainment"/>
    <s v="Kindle Store"/>
    <n v="31.95"/>
    <s v="Credit"/>
    <s v="No"/>
    <n v="18758.87"/>
  </r>
  <r>
    <x v="90"/>
    <d v="2024-03-08T00:00:00"/>
    <s v="Credit Card"/>
    <s v="Expense"/>
    <s v="Utilities"/>
    <s v="Cell Phone Bill"/>
    <n v="171.91"/>
    <s v="Auto-Pay"/>
    <s v="Yes"/>
    <n v="18586.96"/>
  </r>
  <r>
    <x v="91"/>
    <d v="2024-03-08T00:00:00"/>
    <s v="Checking"/>
    <s v="Expense"/>
    <s v="Groceries"/>
    <s v="Aldi"/>
    <n v="73.150000000000006"/>
    <s v="Credit"/>
    <s v="No"/>
    <n v="18513.810000000001"/>
  </r>
  <r>
    <x v="92"/>
    <d v="2024-03-08T00:00:00"/>
    <s v="Checking"/>
    <s v="Expense"/>
    <s v="Dining"/>
    <s v="DoorDash"/>
    <n v="69.75"/>
    <s v="Debit"/>
    <s v="No"/>
    <n v="18444.060000000001"/>
  </r>
  <r>
    <x v="93"/>
    <d v="2024-03-08T00:00:00"/>
    <s v="Checking"/>
    <s v="Expense"/>
    <s v="Transport"/>
    <s v="Parking Garage"/>
    <n v="55.29"/>
    <s v="Debit"/>
    <s v="No"/>
    <n v="18388.77"/>
  </r>
  <r>
    <x v="94"/>
    <d v="2024-03-09T00:00:00"/>
    <s v="Checking"/>
    <s v="Expense"/>
    <s v="Dining"/>
    <s v="Chipotle"/>
    <n v="51.22"/>
    <s v="Debit"/>
    <s v="No"/>
    <n v="18337.55"/>
  </r>
  <r>
    <x v="95"/>
    <d v="2024-03-10T00:00:00"/>
    <s v="Checking"/>
    <s v="Expense"/>
    <s v="Utilities"/>
    <s v="Cell Phone Bill"/>
    <n v="166.34"/>
    <s v="Auto-Pay"/>
    <s v="Yes"/>
    <n v="18171.21"/>
  </r>
  <r>
    <x v="96"/>
    <d v="2024-03-10T00:00:00"/>
    <s v="Checking"/>
    <s v="Expense"/>
    <s v="Groceries"/>
    <s v="Safeway"/>
    <n v="131.09"/>
    <s v="Credit"/>
    <s v="No"/>
    <n v="18040.12"/>
  </r>
  <r>
    <x v="97"/>
    <d v="2024-03-10T00:00:00"/>
    <s v="Credit Card"/>
    <s v="Expense"/>
    <s v="Transport"/>
    <s v="Lyft"/>
    <n v="17.88"/>
    <s v="Credit"/>
    <s v="No"/>
    <n v="18022.240000000002"/>
  </r>
  <r>
    <x v="98"/>
    <d v="2024-03-12T00:00:00"/>
    <s v="Checking"/>
    <s v="Expense"/>
    <s v="Dining"/>
    <s v="Starbucks"/>
    <n v="29.34"/>
    <s v="Credit"/>
    <s v="No"/>
    <n v="17992.900000000001"/>
  </r>
  <r>
    <x v="99"/>
    <d v="2024-03-12T00:00:00"/>
    <s v="Credit Card"/>
    <s v="Expense"/>
    <s v="Transport"/>
    <s v="Uber"/>
    <n v="25.13"/>
    <s v="Credit"/>
    <s v="No"/>
    <n v="17967.77"/>
  </r>
  <r>
    <x v="100"/>
    <d v="2024-03-13T00:00:00"/>
    <s v="Credit Card"/>
    <s v="Expense"/>
    <s v="Groceries"/>
    <s v="Costco"/>
    <n v="167.34"/>
    <s v="Credit"/>
    <s v="No"/>
    <n v="17800.43"/>
  </r>
  <r>
    <x v="101"/>
    <d v="2024-03-13T00:00:00"/>
    <s v="Checking"/>
    <s v="Expense"/>
    <s v="Transport"/>
    <s v="Parking Garage"/>
    <n v="55.25"/>
    <s v="Cash"/>
    <s v="No"/>
    <n v="17745.18"/>
  </r>
  <r>
    <x v="102"/>
    <d v="2024-03-13T00:00:00"/>
    <s v="Credit Card"/>
    <s v="Expense"/>
    <s v="Entertainment"/>
    <s v="Bowling Alley"/>
    <n v="38.869999999999997"/>
    <s v="Credit"/>
    <s v="No"/>
    <n v="17706.310000000001"/>
  </r>
  <r>
    <x v="103"/>
    <d v="2024-03-15T00:00:00"/>
    <s v="Credit Card"/>
    <s v="Expense"/>
    <s v="Dining"/>
    <s v="DoorDash"/>
    <n v="80.58"/>
    <s v="Credit"/>
    <s v="No"/>
    <n v="17625.73"/>
  </r>
  <r>
    <x v="104"/>
    <d v="2024-03-15T00:00:00"/>
    <s v="Credit Card"/>
    <s v="Expense"/>
    <s v="Transport"/>
    <s v="Metro Transit"/>
    <n v="14.52"/>
    <s v="Credit"/>
    <s v="No"/>
    <n v="17611.21"/>
  </r>
  <r>
    <x v="105"/>
    <d v="2024-03-16T00:00:00"/>
    <s v="Checking"/>
    <s v="Expense"/>
    <s v="Dining"/>
    <s v="McDonald's"/>
    <n v="68.31"/>
    <s v="Cash"/>
    <s v="No"/>
    <n v="17542.900000000001"/>
  </r>
  <r>
    <x v="106"/>
    <d v="2024-03-17T00:00:00"/>
    <s v="Checking"/>
    <s v="Expense"/>
    <s v="Dining"/>
    <s v="McDonald's"/>
    <n v="78.819999999999993"/>
    <s v="Cash"/>
    <s v="No"/>
    <n v="17464.080000000002"/>
  </r>
  <r>
    <x v="107"/>
    <d v="2024-03-18T00:00:00"/>
    <s v="Credit Card"/>
    <s v="Expense"/>
    <s v="Transport"/>
    <s v="Metro Transit"/>
    <n v="15.93"/>
    <s v="Debit"/>
    <s v="No"/>
    <n v="17448.150000000001"/>
  </r>
  <r>
    <x v="108"/>
    <d v="2024-03-19T00:00:00"/>
    <s v="Checking"/>
    <s v="Expense"/>
    <s v="Groceries"/>
    <s v="Aldi"/>
    <n v="33.49"/>
    <s v="Debit"/>
    <s v="No"/>
    <n v="17414.66"/>
  </r>
  <r>
    <x v="109"/>
    <d v="2024-03-19T00:00:00"/>
    <s v="Checking"/>
    <s v="Expense"/>
    <s v="Entertainment"/>
    <s v="Bowling Alley"/>
    <n v="85.44"/>
    <s v="Credit"/>
    <s v="No"/>
    <n v="17329.22"/>
  </r>
  <r>
    <x v="110"/>
    <d v="2024-03-20T00:00:00"/>
    <s v="Checking"/>
    <s v="Expense"/>
    <s v="Entertainment"/>
    <s v="Steam Games"/>
    <n v="17.02"/>
    <s v="Credit"/>
    <s v="No"/>
    <n v="17312.2"/>
  </r>
  <r>
    <x v="111"/>
    <d v="2024-03-22T00:00:00"/>
    <s v="Credit Card"/>
    <s v="Expense"/>
    <s v="Transport"/>
    <s v="Metro Transit"/>
    <n v="44.75"/>
    <s v="Debit"/>
    <s v="No"/>
    <n v="17267.45"/>
  </r>
  <r>
    <x v="112"/>
    <d v="2024-03-24T00:00:00"/>
    <s v="Checking"/>
    <s v="Expense"/>
    <s v="Groceries"/>
    <s v="Costco"/>
    <n v="136.87"/>
    <s v="Credit"/>
    <s v="No"/>
    <n v="17130.580000000002"/>
  </r>
  <r>
    <x v="113"/>
    <d v="2024-03-25T00:00:00"/>
    <s v="Savings"/>
    <s v="Income"/>
    <s v="Freelance"/>
    <s v="Fiverr Earnings"/>
    <n v="1204.2"/>
    <s v="Check"/>
    <s v="No"/>
    <n v="18334.78"/>
  </r>
  <r>
    <x v="114"/>
    <d v="2024-03-26T00:00:00"/>
    <s v="Checking"/>
    <s v="Expense"/>
    <s v="Transport"/>
    <s v="Shell Gas"/>
    <n v="39.950000000000003"/>
    <s v="Credit"/>
    <s v="No"/>
    <n v="18294.830000000002"/>
  </r>
  <r>
    <x v="115"/>
    <d v="2024-03-26T00:00:00"/>
    <s v="Credit Card"/>
    <s v="Expense"/>
    <s v="Entertainment"/>
    <s v="Spotify"/>
    <n v="45.98"/>
    <s v="Debit"/>
    <s v="No"/>
    <n v="18248.849999999999"/>
  </r>
  <r>
    <x v="116"/>
    <d v="2024-03-30T00:00:00"/>
    <s v="Checking"/>
    <s v="Expense"/>
    <s v="Dining"/>
    <s v="Starbucks"/>
    <n v="31.15"/>
    <s v="Credit"/>
    <s v="No"/>
    <n v="18217.7"/>
  </r>
  <r>
    <x v="117"/>
    <d v="2024-03-31T00:00:00"/>
    <s v="Checking"/>
    <s v="Expense"/>
    <s v="Groceries"/>
    <s v="Aldi"/>
    <n v="165.26"/>
    <s v="Credit"/>
    <s v="No"/>
    <n v="18052.439999999999"/>
  </r>
  <r>
    <x v="118"/>
    <d v="2024-04-01T00:00:00"/>
    <s v="Checking"/>
    <s v="Income"/>
    <s v="Salary"/>
    <s v="Employer Direct Deposit"/>
    <n v="4992.96"/>
    <s v="Direct Deposit"/>
    <s v="Yes"/>
    <n v="23045.4"/>
  </r>
  <r>
    <x v="119"/>
    <d v="2024-04-01T00:00:00"/>
    <s v="Checking"/>
    <s v="Expense"/>
    <s v="Rent"/>
    <s v="Landlord Payment"/>
    <n v="1314.76"/>
    <s v="Auto-Pay"/>
    <s v="Yes"/>
    <n v="21730.639999999999"/>
  </r>
  <r>
    <x v="120"/>
    <d v="2024-04-01T00:00:00"/>
    <s v="Credit Card"/>
    <s v="Expense"/>
    <s v="Dining"/>
    <s v="Olive Garden"/>
    <n v="37.85"/>
    <s v="Credit"/>
    <s v="No"/>
    <n v="21692.79"/>
  </r>
  <r>
    <x v="121"/>
    <d v="2024-04-01T00:00:00"/>
    <s v="Checking"/>
    <s v="Expense"/>
    <s v="Entertainment"/>
    <s v="Spotify"/>
    <n v="89.04"/>
    <s v="Debit"/>
    <s v="No"/>
    <n v="21603.75"/>
  </r>
  <r>
    <x v="122"/>
    <d v="2024-04-02T00:00:00"/>
    <s v="Credit Card"/>
    <s v="Expense"/>
    <s v="Groceries"/>
    <s v="Safeway"/>
    <n v="101.07"/>
    <s v="Credit"/>
    <s v="No"/>
    <n v="21502.68"/>
  </r>
  <r>
    <x v="123"/>
    <d v="2024-04-02T00:00:00"/>
    <s v="Checking"/>
    <s v="Expense"/>
    <s v="Dining"/>
    <s v="Olive Garden"/>
    <n v="76.13"/>
    <s v="Cash"/>
    <s v="No"/>
    <n v="21426.55"/>
  </r>
  <r>
    <x v="124"/>
    <d v="2024-04-04T00:00:00"/>
    <s v="Credit Card"/>
    <s v="Expense"/>
    <s v="Transport"/>
    <s v="EZ Pass Toll"/>
    <n v="35.97"/>
    <s v="Debit"/>
    <s v="No"/>
    <n v="21390.58"/>
  </r>
  <r>
    <x v="125"/>
    <d v="2024-04-05T00:00:00"/>
    <s v="Checking"/>
    <s v="Expense"/>
    <s v="Utilities"/>
    <s v="Cell Phone Bill"/>
    <n v="184.76"/>
    <s v="Auto-Pay"/>
    <s v="Yes"/>
    <n v="21205.82"/>
  </r>
  <r>
    <x v="126"/>
    <d v="2024-04-05T00:00:00"/>
    <s v="Credit Card"/>
    <s v="Expense"/>
    <s v="Transport"/>
    <s v="Metro Transit"/>
    <n v="27.49"/>
    <s v="Cash"/>
    <s v="No"/>
    <n v="21178.33"/>
  </r>
  <r>
    <x v="127"/>
    <d v="2024-04-06T00:00:00"/>
    <s v="Checking"/>
    <s v="Expense"/>
    <s v="Utilities"/>
    <s v="Gas Company"/>
    <n v="79.47"/>
    <s v="Auto-Pay"/>
    <s v="Yes"/>
    <n v="21098.86"/>
  </r>
  <r>
    <x v="128"/>
    <d v="2024-04-06T00:00:00"/>
    <s v="Credit Card"/>
    <s v="Expense"/>
    <s v="Groceries"/>
    <s v="Walmart Grocery"/>
    <n v="77.47"/>
    <s v="Debit"/>
    <s v="No"/>
    <n v="21021.39"/>
  </r>
  <r>
    <x v="129"/>
    <d v="2024-04-06T00:00:00"/>
    <s v="Credit Card"/>
    <s v="Expense"/>
    <s v="Transport"/>
    <s v="Shell Gas"/>
    <n v="54.76"/>
    <s v="Debit"/>
    <s v="No"/>
    <n v="20966.63"/>
  </r>
  <r>
    <x v="130"/>
    <d v="2024-04-06T00:00:00"/>
    <s v="Credit Card"/>
    <s v="Expense"/>
    <s v="Entertainment"/>
    <s v="Spotify"/>
    <n v="35.58"/>
    <s v="Debit"/>
    <s v="No"/>
    <n v="20931.05"/>
  </r>
  <r>
    <x v="131"/>
    <d v="2024-04-07T00:00:00"/>
    <s v="Credit Card"/>
    <s v="Expense"/>
    <s v="Utilities"/>
    <s v="Electric Company"/>
    <n v="242.72"/>
    <s v="Auto-Pay"/>
    <s v="Yes"/>
    <n v="20688.330000000002"/>
  </r>
  <r>
    <x v="132"/>
    <d v="2024-04-07T00:00:00"/>
    <s v="Checking"/>
    <s v="Expense"/>
    <s v="Groceries"/>
    <s v="Walmart Grocery"/>
    <n v="152.11000000000001"/>
    <s v="Credit"/>
    <s v="No"/>
    <n v="20536.22"/>
  </r>
  <r>
    <x v="133"/>
    <d v="2024-04-08T00:00:00"/>
    <s v="Checking"/>
    <s v="Expense"/>
    <s v="Transport"/>
    <s v="EZ Pass Toll"/>
    <n v="42.64"/>
    <s v="Debit"/>
    <s v="No"/>
    <n v="20493.580000000002"/>
  </r>
  <r>
    <x v="134"/>
    <d v="2024-04-09T00:00:00"/>
    <s v="Credit Card"/>
    <s v="Expense"/>
    <s v="Dining"/>
    <s v="Sushi Palace"/>
    <n v="54.1"/>
    <s v="Cash"/>
    <s v="No"/>
    <n v="20439.48"/>
  </r>
  <r>
    <x v="135"/>
    <d v="2024-04-09T00:00:00"/>
    <s v="Credit Card"/>
    <s v="Expense"/>
    <s v="Transport"/>
    <s v="BP Gas"/>
    <n v="54.2"/>
    <s v="Credit"/>
    <s v="No"/>
    <n v="20385.28"/>
  </r>
  <r>
    <x v="136"/>
    <d v="2024-04-10T00:00:00"/>
    <s v="Checking"/>
    <s v="Expense"/>
    <s v="Groceries"/>
    <s v="Aldi"/>
    <n v="45.63"/>
    <s v="Credit"/>
    <s v="No"/>
    <n v="20339.650000000001"/>
  </r>
  <r>
    <x v="137"/>
    <d v="2024-04-11T00:00:00"/>
    <s v="Checking"/>
    <s v="Income"/>
    <s v="Freelance"/>
    <s v="Fiverr Earnings"/>
    <n v="713.12"/>
    <s v="Transfer"/>
    <s v="No"/>
    <n v="21052.77"/>
  </r>
  <r>
    <x v="138"/>
    <d v="2024-04-13T00:00:00"/>
    <s v="Checking"/>
    <s v="Expense"/>
    <s v="Groceries"/>
    <s v="Safeway"/>
    <n v="158.47999999999999"/>
    <s v="Credit"/>
    <s v="No"/>
    <n v="20894.29"/>
  </r>
  <r>
    <x v="139"/>
    <d v="2024-04-13T00:00:00"/>
    <s v="Credit Card"/>
    <s v="Expense"/>
    <s v="Dining"/>
    <s v="Uber Eats"/>
    <n v="31.37"/>
    <s v="Cash"/>
    <s v="No"/>
    <n v="20862.919999999998"/>
  </r>
  <r>
    <x v="140"/>
    <d v="2024-04-14T00:00:00"/>
    <s v="Credit Card"/>
    <s v="Expense"/>
    <s v="Groceries"/>
    <s v="Trader Joe's"/>
    <n v="94.14"/>
    <s v="Credit"/>
    <s v="No"/>
    <n v="20768.78"/>
  </r>
  <r>
    <x v="141"/>
    <d v="2024-04-14T00:00:00"/>
    <s v="Checking"/>
    <s v="Expense"/>
    <s v="Dining"/>
    <s v="Local Bistro"/>
    <n v="72.98"/>
    <s v="Credit"/>
    <s v="No"/>
    <n v="20695.8"/>
  </r>
  <r>
    <x v="142"/>
    <d v="2024-04-14T00:00:00"/>
    <s v="Credit Card"/>
    <s v="Expense"/>
    <s v="Transport"/>
    <s v="Parking Garage"/>
    <n v="17.09"/>
    <s v="Debit"/>
    <s v="No"/>
    <n v="20678.71"/>
  </r>
  <r>
    <x v="143"/>
    <d v="2024-04-15T00:00:00"/>
    <s v="Checking"/>
    <s v="Expense"/>
    <s v="Groceries"/>
    <s v="Aldi"/>
    <n v="87.53"/>
    <s v="Debit"/>
    <s v="No"/>
    <n v="20591.18"/>
  </r>
  <r>
    <x v="144"/>
    <d v="2024-04-15T00:00:00"/>
    <s v="Credit Card"/>
    <s v="Expense"/>
    <s v="Transport"/>
    <s v="Shell Gas"/>
    <n v="45.97"/>
    <s v="Debit"/>
    <s v="No"/>
    <n v="20545.21"/>
  </r>
  <r>
    <x v="145"/>
    <d v="2024-04-15T00:00:00"/>
    <s v="Checking"/>
    <s v="Expense"/>
    <s v="Entertainment"/>
    <s v="Kindle Store"/>
    <n v="20.45"/>
    <s v="Credit"/>
    <s v="No"/>
    <n v="20524.759999999998"/>
  </r>
  <r>
    <x v="146"/>
    <d v="2024-04-16T00:00:00"/>
    <s v="Checking"/>
    <s v="Expense"/>
    <s v="Groceries"/>
    <s v="Aldi"/>
    <n v="95.98"/>
    <s v="Debit"/>
    <s v="No"/>
    <n v="20428.78"/>
  </r>
  <r>
    <x v="147"/>
    <d v="2024-04-17T00:00:00"/>
    <s v="Checking"/>
    <s v="Expense"/>
    <s v="Groceries"/>
    <s v="Trader Joe's"/>
    <n v="79.77"/>
    <s v="Debit"/>
    <s v="No"/>
    <n v="20349.009999999998"/>
  </r>
  <r>
    <x v="148"/>
    <d v="2024-04-17T00:00:00"/>
    <s v="Credit Card"/>
    <s v="Expense"/>
    <s v="Transport"/>
    <s v="Uber"/>
    <n v="30.5"/>
    <s v="Cash"/>
    <s v="No"/>
    <n v="20318.509999999998"/>
  </r>
  <r>
    <x v="149"/>
    <d v="2025-10-15T00:00:00"/>
    <s v="Credit Card"/>
    <s v="Expense"/>
    <s v="Transport"/>
    <s v="Lyft"/>
    <n v="33.49"/>
    <s v="Cash"/>
    <s v="No"/>
    <n v="112360.68"/>
  </r>
  <r>
    <x v="150"/>
    <d v="2025-10-20T00:00:00"/>
    <s v="Credit Card"/>
    <s v="Expense"/>
    <s v="Dining"/>
    <s v="Starbucks"/>
    <n v="17.04"/>
    <s v="Credit"/>
    <s v="No"/>
    <n v="112343.64"/>
  </r>
  <r>
    <x v="151"/>
    <d v="2025-10-20T00:00:00"/>
    <s v="Credit Card"/>
    <s v="Expense"/>
    <s v="Transport"/>
    <s v="Parking Garage"/>
    <n v="33.99"/>
    <s v="Credit"/>
    <s v="No"/>
    <n v="112309.65"/>
  </r>
  <r>
    <x v="152"/>
    <d v="2025-10-21T00:00:00"/>
    <s v="Savings"/>
    <s v="Income"/>
    <s v="Freelance"/>
    <s v="Upwork Transfer"/>
    <n v="617.59"/>
    <s v="Transfer"/>
    <s v="No"/>
    <n v="112927.24"/>
  </r>
  <r>
    <x v="153"/>
    <d v="2025-10-21T00:00:00"/>
    <s v="Checking"/>
    <s v="Expense"/>
    <s v="Transport"/>
    <s v="EZ Pass Toll"/>
    <n v="20.420000000000002"/>
    <s v="Debit"/>
    <s v="No"/>
    <n v="112906.82"/>
  </r>
  <r>
    <x v="154"/>
    <d v="2025-10-22T00:00:00"/>
    <s v="Credit Card"/>
    <s v="Expense"/>
    <s v="Entertainment"/>
    <s v="Kindle Store"/>
    <n v="77.59"/>
    <s v="Debit"/>
    <s v="No"/>
    <n v="112829.23"/>
  </r>
  <r>
    <x v="155"/>
    <d v="2025-10-24T00:00:00"/>
    <s v="Checking"/>
    <s v="Income"/>
    <s v="Freelance"/>
    <s v="Fiverr Earnings"/>
    <n v="524.25"/>
    <s v="Transfer"/>
    <s v="No"/>
    <n v="113353.48"/>
  </r>
  <r>
    <x v="156"/>
    <d v="2025-10-24T00:00:00"/>
    <s v="Credit Card"/>
    <s v="Expense"/>
    <s v="Groceries"/>
    <s v="Walmart Grocery"/>
    <n v="178.45"/>
    <s v="Credit"/>
    <s v="No"/>
    <n v="113175.03"/>
  </r>
  <r>
    <x v="157"/>
    <d v="2025-10-24T00:00:00"/>
    <s v="Credit Card"/>
    <s v="Expense"/>
    <s v="Dining"/>
    <s v="Local Bistro"/>
    <n v="73.56"/>
    <s v="Debit"/>
    <s v="No"/>
    <n v="113101.47"/>
  </r>
  <r>
    <x v="158"/>
    <d v="2025-10-24T00:00:00"/>
    <s v="Checking"/>
    <s v="Expense"/>
    <s v="Entertainment"/>
    <s v="Spotify"/>
    <n v="94.2"/>
    <s v="Credit"/>
    <s v="No"/>
    <n v="113007.27"/>
  </r>
  <r>
    <x v="159"/>
    <d v="2025-10-26T00:00:00"/>
    <s v="Checking"/>
    <s v="Expense"/>
    <s v="Dining"/>
    <s v="Local Bistro"/>
    <n v="75.03"/>
    <s v="Debit"/>
    <s v="No"/>
    <n v="112932.24"/>
  </r>
  <r>
    <x v="160"/>
    <d v="2025-10-27T00:00:00"/>
    <s v="Checking"/>
    <s v="Expense"/>
    <s v="Dining"/>
    <s v="Local Bistro"/>
    <n v="9.02"/>
    <s v="Credit"/>
    <s v="No"/>
    <n v="112923.22"/>
  </r>
  <r>
    <x v="161"/>
    <d v="2025-10-27T00:00:00"/>
    <s v="Checking"/>
    <s v="Expense"/>
    <s v="Transport"/>
    <s v="Shell Gas"/>
    <n v="52.39"/>
    <s v="Debit"/>
    <s v="No"/>
    <n v="112870.83"/>
  </r>
  <r>
    <x v="162"/>
    <d v="2025-10-28T00:00:00"/>
    <s v="Checking"/>
    <s v="Income"/>
    <s v="Freelance"/>
    <s v="Fiverr Earnings"/>
    <n v="630.09"/>
    <s v="Transfer"/>
    <s v="No"/>
    <n v="113500.92"/>
  </r>
  <r>
    <x v="163"/>
    <d v="2025-10-28T00:00:00"/>
    <s v="Checking"/>
    <s v="Expense"/>
    <s v="Transport"/>
    <s v="Lyft"/>
    <n v="48.48"/>
    <s v="Cash"/>
    <s v="No"/>
    <n v="113452.44"/>
  </r>
  <r>
    <x v="164"/>
    <d v="2025-10-29T00:00:00"/>
    <s v="Credit Card"/>
    <s v="Expense"/>
    <s v="Entertainment"/>
    <s v="Netflix"/>
    <n v="81.95"/>
    <s v="Debit"/>
    <s v="No"/>
    <n v="113370.49"/>
  </r>
  <r>
    <x v="165"/>
    <d v="2025-10-30T00:00:00"/>
    <s v="Checking"/>
    <s v="Expense"/>
    <s v="Groceries"/>
    <s v="Kroger"/>
    <n v="66.55"/>
    <s v="Credit"/>
    <s v="No"/>
    <n v="113303.94"/>
  </r>
  <r>
    <x v="166"/>
    <d v="2025-10-31T00:00:00"/>
    <s v="Credit Card"/>
    <s v="Expense"/>
    <s v="Dining"/>
    <s v="Uber Eats"/>
    <n v="10.220000000000001"/>
    <s v="Debit"/>
    <s v="No"/>
    <n v="113293.72"/>
  </r>
  <r>
    <x v="167"/>
    <d v="2025-11-01T00:00:00"/>
    <s v="Checking"/>
    <s v="Expense"/>
    <s v="Rent"/>
    <s v="Apartment Complex"/>
    <n v="1655.46"/>
    <s v="Auto-Pay"/>
    <s v="Yes"/>
    <n v="111638.26"/>
  </r>
  <r>
    <x v="168"/>
    <d v="2025-11-01T00:00:00"/>
    <s v="Credit Card"/>
    <s v="Expense"/>
    <s v="Groceries"/>
    <s v="Safeway"/>
    <n v="73.63"/>
    <s v="Credit"/>
    <s v="No"/>
    <n v="111564.63"/>
  </r>
  <r>
    <x v="169"/>
    <d v="2025-11-02T00:00:00"/>
    <s v="Checking"/>
    <s v="Expense"/>
    <s v="Groceries"/>
    <s v="Costco"/>
    <n v="131.76"/>
    <s v="Credit"/>
    <s v="No"/>
    <n v="111432.87"/>
  </r>
  <r>
    <x v="170"/>
    <d v="2025-11-02T00:00:00"/>
    <s v="Checking"/>
    <s v="Expense"/>
    <s v="Transport"/>
    <s v="BP Gas"/>
    <n v="33.78"/>
    <s v="Credit"/>
    <s v="No"/>
    <n v="111399.09"/>
  </r>
  <r>
    <x v="171"/>
    <d v="2025-11-03T00:00:00"/>
    <s v="Credit Card"/>
    <s v="Expense"/>
    <s v="Groceries"/>
    <s v="Kroger"/>
    <n v="27.36"/>
    <s v="Credit"/>
    <s v="No"/>
    <n v="111371.73"/>
  </r>
  <r>
    <x v="172"/>
    <d v="2025-11-03T00:00:00"/>
    <s v="Checking"/>
    <s v="Expense"/>
    <s v="Transport"/>
    <s v="BP Gas"/>
    <n v="26.53"/>
    <s v="Cash"/>
    <s v="No"/>
    <n v="111345.2"/>
  </r>
  <r>
    <x v="173"/>
    <d v="2025-11-05T00:00:00"/>
    <s v="Credit Card"/>
    <s v="Expense"/>
    <s v="Groceries"/>
    <s v="Costco"/>
    <n v="150.72999999999999"/>
    <s v="Debit"/>
    <s v="No"/>
    <n v="111194.47"/>
  </r>
  <r>
    <x v="174"/>
    <d v="2025-11-05T00:00:00"/>
    <s v="Checking"/>
    <s v="Expense"/>
    <s v="Dining"/>
    <s v="Starbucks"/>
    <n v="83.19"/>
    <s v="Cash"/>
    <s v="No"/>
    <n v="111111.28"/>
  </r>
  <r>
    <x v="175"/>
    <d v="2025-11-05T00:00:00"/>
    <s v="Checking"/>
    <s v="Expense"/>
    <s v="Transport"/>
    <s v="EZ Pass Toll"/>
    <n v="56.78"/>
    <s v="Debit"/>
    <s v="No"/>
    <n v="111054.5"/>
  </r>
  <r>
    <x v="176"/>
    <d v="2025-11-06T00:00:00"/>
    <s v="Checking"/>
    <s v="Expense"/>
    <s v="Entertainment"/>
    <s v="Spotify"/>
    <n v="79.099999999999994"/>
    <s v="Credit"/>
    <s v="No"/>
    <n v="110975.4"/>
  </r>
  <r>
    <x v="177"/>
    <d v="2025-11-07T00:00:00"/>
    <s v="Checking"/>
    <s v="Expense"/>
    <s v="Groceries"/>
    <s v="Trader Joe's"/>
    <n v="157.57"/>
    <s v="Credit"/>
    <s v="No"/>
    <n v="110817.83"/>
  </r>
  <r>
    <x v="178"/>
    <d v="2025-11-07T00:00:00"/>
    <s v="Checking"/>
    <s v="Expense"/>
    <s v="Transport"/>
    <s v="Parking Garage"/>
    <n v="48.07"/>
    <s v="Debit"/>
    <s v="No"/>
    <n v="110769.76"/>
  </r>
  <r>
    <x v="179"/>
    <d v="2025-11-08T00:00:00"/>
    <s v="Checking"/>
    <s v="Expense"/>
    <s v="Utilities"/>
    <s v="Gas Company"/>
    <n v="194.49"/>
    <s v="Auto-Pay"/>
    <s v="Yes"/>
    <n v="110575.27"/>
  </r>
  <r>
    <x v="180"/>
    <d v="2025-11-08T00:00:00"/>
    <s v="Checking"/>
    <s v="Expense"/>
    <s v="Groceries"/>
    <s v="Aldi"/>
    <n v="111.82"/>
    <s v="Credit"/>
    <s v="No"/>
    <n v="110463.45"/>
  </r>
  <r>
    <x v="181"/>
    <d v="2025-11-08T00:00:00"/>
    <s v="Credit Card"/>
    <s v="Expense"/>
    <s v="Transport"/>
    <s v="Parking Garage"/>
    <n v="16.97"/>
    <s v="Cash"/>
    <s v="No"/>
    <n v="110446.48"/>
  </r>
  <r>
    <x v="182"/>
    <d v="2025-11-09T00:00:00"/>
    <s v="Checking"/>
    <s v="Expense"/>
    <s v="Utilities"/>
    <s v="Gas Company"/>
    <n v="246.76"/>
    <s v="Auto-Pay"/>
    <s v="Yes"/>
    <n v="110199.72"/>
  </r>
  <r>
    <x v="183"/>
    <d v="2025-11-09T00:00:00"/>
    <s v="Credit Card"/>
    <s v="Expense"/>
    <s v="Dining"/>
    <s v="Sushi Palace"/>
    <n v="16.41"/>
    <s v="Cash"/>
    <s v="No"/>
    <n v="110183.31"/>
  </r>
  <r>
    <x v="184"/>
    <d v="2025-11-10T00:00:00"/>
    <s v="Credit Card"/>
    <s v="Expense"/>
    <s v="Transport"/>
    <s v="Lyft"/>
    <n v="5.07"/>
    <s v="Credit"/>
    <s v="No"/>
    <n v="110178.24000000001"/>
  </r>
  <r>
    <x v="185"/>
    <d v="2025-11-11T00:00:00"/>
    <s v="Checking"/>
    <s v="Expense"/>
    <s v="Transport"/>
    <s v="Shell Gas"/>
    <n v="42.89"/>
    <s v="Credit"/>
    <s v="No"/>
    <n v="110135.35"/>
  </r>
  <r>
    <x v="186"/>
    <d v="2025-11-13T00:00:00"/>
    <s v="Checking"/>
    <s v="Expense"/>
    <s v="Dining"/>
    <s v="Sushi Palace"/>
    <n v="69.47"/>
    <s v="Debit"/>
    <s v="No"/>
    <n v="110065.88"/>
  </r>
  <r>
    <x v="187"/>
    <d v="2025-11-14T00:00:00"/>
    <s v="Checking"/>
    <s v="Expense"/>
    <s v="Dining"/>
    <s v="Starbucks"/>
    <n v="76.41"/>
    <s v="Credit"/>
    <s v="No"/>
    <n v="109989.47"/>
  </r>
  <r>
    <x v="188"/>
    <d v="2025-11-15T00:00:00"/>
    <s v="Checking"/>
    <s v="Income"/>
    <s v="Salary"/>
    <s v="Employer Direct Deposit"/>
    <n v="5218.3999999999996"/>
    <s v="Direct Deposit"/>
    <s v="Yes"/>
    <n v="115207.87"/>
  </r>
  <r>
    <x v="189"/>
    <d v="2025-11-15T00:00:00"/>
    <s v="Credit Card"/>
    <s v="Expense"/>
    <s v="Dining"/>
    <s v="Panera Bread"/>
    <n v="16.350000000000001"/>
    <s v="Credit"/>
    <s v="No"/>
    <n v="115191.52"/>
  </r>
  <r>
    <x v="190"/>
    <d v="2025-11-17T00:00:00"/>
    <s v="Credit Card"/>
    <s v="Expense"/>
    <s v="Groceries"/>
    <s v="Kroger"/>
    <n v="71.39"/>
    <s v="Debit"/>
    <s v="No"/>
    <n v="115120.13"/>
  </r>
  <r>
    <x v="191"/>
    <d v="2025-11-20T00:00:00"/>
    <s v="Checking"/>
    <s v="Expense"/>
    <s v="Dining"/>
    <s v="Uber Eats"/>
    <n v="75.900000000000006"/>
    <s v="Debit"/>
    <s v="No"/>
    <n v="115044.23"/>
  </r>
  <r>
    <x v="192"/>
    <d v="2025-11-20T00:00:00"/>
    <s v="Credit Card"/>
    <s v="Expense"/>
    <s v="Transport"/>
    <s v="Parking Garage"/>
    <n v="18.420000000000002"/>
    <s v="Credit"/>
    <s v="No"/>
    <n v="115025.81"/>
  </r>
  <r>
    <x v="193"/>
    <d v="2025-11-21T00:00:00"/>
    <s v="Credit Card"/>
    <s v="Expense"/>
    <s v="Dining"/>
    <s v="Sushi Palace"/>
    <n v="29.88"/>
    <s v="Debit"/>
    <s v="No"/>
    <n v="114995.93"/>
  </r>
  <r>
    <x v="194"/>
    <d v="2025-11-22T00:00:00"/>
    <s v="Credit Card"/>
    <s v="Expense"/>
    <s v="Groceries"/>
    <s v="Trader Joe's"/>
    <n v="163.68"/>
    <s v="Debit"/>
    <s v="No"/>
    <n v="114832.25"/>
  </r>
  <r>
    <x v="195"/>
    <d v="2025-11-22T00:00:00"/>
    <s v="Checking"/>
    <s v="Expense"/>
    <s v="Dining"/>
    <s v="DoorDash"/>
    <n v="10.41"/>
    <s v="Credit"/>
    <s v="No"/>
    <n v="114821.84"/>
  </r>
  <r>
    <x v="196"/>
    <d v="2025-11-23T00:00:00"/>
    <s v="Credit Card"/>
    <s v="Expense"/>
    <s v="Groceries"/>
    <s v="Walmart Grocery"/>
    <n v="78.319999999999993"/>
    <s v="Debit"/>
    <s v="No"/>
    <n v="114743.52"/>
  </r>
  <r>
    <x v="197"/>
    <d v="2025-11-23T00:00:00"/>
    <s v="Checking"/>
    <s v="Expense"/>
    <s v="Dining"/>
    <s v="Uber Eats"/>
    <n v="15.43"/>
    <s v="Credit"/>
    <s v="No"/>
    <n v="114728.09"/>
  </r>
  <r>
    <x v="198"/>
    <d v="2025-11-24T00:00:00"/>
    <s v="Checking"/>
    <s v="Expense"/>
    <s v="Transport"/>
    <s v="EZ Pass Toll"/>
    <n v="46.35"/>
    <s v="Debit"/>
    <s v="No"/>
    <n v="114681.74"/>
  </r>
  <r>
    <x v="199"/>
    <d v="2025-11-27T00:00:00"/>
    <s v="Credit Card"/>
    <s v="Expense"/>
    <s v="Groceries"/>
    <s v="Trader Joe's"/>
    <n v="72.319999999999993"/>
    <s v="Credit"/>
    <s v="No"/>
    <n v="114609.42"/>
  </r>
  <r>
    <x v="200"/>
    <d v="2025-11-28T00:00:00"/>
    <s v="Credit Card"/>
    <s v="Expense"/>
    <s v="Groceries"/>
    <s v="Safeway"/>
    <n v="150.13999999999999"/>
    <s v="Credit"/>
    <s v="No"/>
    <n v="114459.28"/>
  </r>
  <r>
    <x v="201"/>
    <d v="2025-11-28T00:00:00"/>
    <s v="Credit Card"/>
    <s v="Expense"/>
    <s v="Dining"/>
    <s v="Uber Eats"/>
    <n v="51.33"/>
    <s v="Credit"/>
    <s v="No"/>
    <n v="114407.95"/>
  </r>
  <r>
    <x v="202"/>
    <d v="2025-11-28T00:00:00"/>
    <s v="Checking"/>
    <s v="Expense"/>
    <s v="Entertainment"/>
    <s v="Netflix"/>
    <n v="19.28"/>
    <s v="Debit"/>
    <s v="No"/>
    <n v="114388.67"/>
  </r>
  <r>
    <x v="203"/>
    <d v="2025-11-29T00:00:00"/>
    <s v="Checking"/>
    <s v="Expense"/>
    <s v="Entertainment"/>
    <s v="Bowling Alley"/>
    <n v="70.52"/>
    <s v="Credit"/>
    <s v="No"/>
    <n v="114318.15"/>
  </r>
  <r>
    <x v="204"/>
    <d v="2025-11-30T00:00:00"/>
    <s v="Checking"/>
    <s v="Expense"/>
    <s v="Dining"/>
    <s v="Chipotle"/>
    <n v="65.09"/>
    <s v="Debit"/>
    <s v="No"/>
    <n v="114253.06"/>
  </r>
  <r>
    <x v="205"/>
    <d v="2025-11-30T00:00:00"/>
    <s v="Credit Card"/>
    <s v="Expense"/>
    <s v="Transport"/>
    <s v="Lyft"/>
    <n v="37.26"/>
    <s v="Debit"/>
    <s v="No"/>
    <n v="114215.8"/>
  </r>
  <r>
    <x v="206"/>
    <d v="2025-12-01T00:00:00"/>
    <s v="Checking"/>
    <s v="Income"/>
    <s v="Salary"/>
    <s v="Company Payroll"/>
    <n v="4007.26"/>
    <s v="Direct Deposit"/>
    <s v="Yes"/>
    <n v="118223.06"/>
  </r>
  <r>
    <x v="207"/>
    <d v="2025-12-01T00:00:00"/>
    <s v="Credit Card"/>
    <s v="Expense"/>
    <s v="Dining"/>
    <s v="Olive Garden"/>
    <n v="20.87"/>
    <s v="Debit"/>
    <s v="No"/>
    <n v="118202.19"/>
  </r>
  <r>
    <x v="208"/>
    <d v="2025-12-02T00:00:00"/>
    <s v="Checking"/>
    <s v="Expense"/>
    <s v="Groceries"/>
    <s v="Trader Joe's"/>
    <n v="31.54"/>
    <s v="Credit"/>
    <s v="No"/>
    <n v="118170.65"/>
  </r>
  <r>
    <x v="209"/>
    <d v="2025-12-02T00:00:00"/>
    <s v="Credit Card"/>
    <s v="Expense"/>
    <s v="Transport"/>
    <s v="Metro Transit"/>
    <n v="18.53"/>
    <s v="Debit"/>
    <s v="No"/>
    <n v="118152.12"/>
  </r>
  <r>
    <x v="210"/>
    <d v="2025-12-03T00:00:00"/>
    <s v="Checking"/>
    <s v="Expense"/>
    <s v="Dining"/>
    <s v="Olive Garden"/>
    <n v="71.77"/>
    <s v="Credit"/>
    <s v="No"/>
    <n v="118080.35"/>
  </r>
  <r>
    <x v="211"/>
    <d v="2025-12-04T00:00:00"/>
    <s v="Checking"/>
    <s v="Expense"/>
    <s v="Groceries"/>
    <s v="Trader Joe's"/>
    <n v="24.88"/>
    <s v="Credit"/>
    <s v="No"/>
    <n v="118055.47"/>
  </r>
  <r>
    <x v="212"/>
    <d v="2025-12-04T00:00:00"/>
    <s v="Credit Card"/>
    <s v="Expense"/>
    <s v="Transport"/>
    <s v="Uber"/>
    <n v="42"/>
    <s v="Debit"/>
    <s v="No"/>
    <n v="118013.47"/>
  </r>
  <r>
    <x v="213"/>
    <d v="2025-12-05T00:00:00"/>
    <s v="Checking"/>
    <s v="Expense"/>
    <s v="Utilities"/>
    <s v="Cell Phone Bill"/>
    <n v="157.69"/>
    <s v="Auto-Pay"/>
    <s v="Yes"/>
    <n v="117855.78"/>
  </r>
  <r>
    <x v="214"/>
    <d v="2025-12-05T00:00:00"/>
    <s v="Credit Card"/>
    <s v="Expense"/>
    <s v="Groceries"/>
    <s v="Whole Foods"/>
    <n v="28.27"/>
    <s v="Debit"/>
    <s v="No"/>
    <n v="117827.51"/>
  </r>
  <r>
    <x v="215"/>
    <d v="2025-12-06T00:00:00"/>
    <s v="Checking"/>
    <s v="Expense"/>
    <s v="Utilities"/>
    <s v="Water Utility"/>
    <n v="94.73"/>
    <s v="Auto-Pay"/>
    <s v="Yes"/>
    <n v="117732.78"/>
  </r>
  <r>
    <x v="216"/>
    <d v="2025-12-06T00:00:00"/>
    <s v="Checking"/>
    <s v="Expense"/>
    <s v="Entertainment"/>
    <s v="Spotify"/>
    <n v="47.43"/>
    <s v="Credit"/>
    <s v="No"/>
    <n v="117685.35"/>
  </r>
  <r>
    <x v="217"/>
    <d v="2025-12-07T00:00:00"/>
    <s v="Checking"/>
    <s v="Expense"/>
    <s v="Utilities"/>
    <s v="Internet Provider"/>
    <n v="155.71"/>
    <s v="Auto-Pay"/>
    <s v="Yes"/>
    <n v="117529.64"/>
  </r>
  <r>
    <x v="218"/>
    <d v="2025-12-07T00:00:00"/>
    <s v="Credit Card"/>
    <s v="Expense"/>
    <s v="Transport"/>
    <s v="Parking Garage"/>
    <n v="53.96"/>
    <s v="Debit"/>
    <s v="No"/>
    <n v="117475.68"/>
  </r>
  <r>
    <x v="219"/>
    <d v="2025-12-08T00:00:00"/>
    <s v="Checking"/>
    <s v="Expense"/>
    <s v="Transport"/>
    <s v="Parking Garage"/>
    <n v="14.9"/>
    <s v="Credit"/>
    <s v="No"/>
    <n v="117460.78"/>
  </r>
  <r>
    <x v="220"/>
    <d v="2025-12-09T00:00:00"/>
    <s v="Checking"/>
    <s v="Expense"/>
    <s v="Dining"/>
    <s v="Chipotle"/>
    <n v="38.799999999999997"/>
    <s v="Credit"/>
    <s v="No"/>
    <n v="117421.98"/>
  </r>
  <r>
    <x v="221"/>
    <d v="2025-12-10T00:00:00"/>
    <s v="Credit Card"/>
    <s v="Expense"/>
    <s v="Utilities"/>
    <s v="Internet Provider"/>
    <n v="227.34"/>
    <s v="Auto-Pay"/>
    <s v="Yes"/>
    <n v="117194.64"/>
  </r>
  <r>
    <x v="222"/>
    <d v="2025-12-10T00:00:00"/>
    <s v="Credit Card"/>
    <s v="Expense"/>
    <s v="Dining"/>
    <s v="Sushi Palace"/>
    <n v="42.67"/>
    <s v="Debit"/>
    <s v="No"/>
    <n v="117151.97"/>
  </r>
  <r>
    <x v="223"/>
    <d v="2025-12-10T00:00:00"/>
    <s v="Checking"/>
    <s v="Expense"/>
    <s v="Entertainment"/>
    <s v="Concert Tickets"/>
    <n v="40.21"/>
    <s v="Credit"/>
    <s v="No"/>
    <n v="117111.76"/>
  </r>
  <r>
    <x v="224"/>
    <d v="2025-12-11T00:00:00"/>
    <s v="Checking"/>
    <s v="Expense"/>
    <s v="Dining"/>
    <s v="Panera Bread"/>
    <n v="36.65"/>
    <s v="Debit"/>
    <s v="No"/>
    <n v="117075.11"/>
  </r>
  <r>
    <x v="225"/>
    <d v="2025-12-12T00:00:00"/>
    <s v="Credit Card"/>
    <s v="Expense"/>
    <s v="Transport"/>
    <s v="BP Gas"/>
    <n v="59"/>
    <s v="Credit"/>
    <s v="No"/>
    <n v="117016.11"/>
  </r>
  <r>
    <x v="226"/>
    <d v="2025-12-14T00:00:00"/>
    <s v="Checking"/>
    <s v="Expense"/>
    <s v="Groceries"/>
    <s v="Safeway"/>
    <n v="134.05000000000001"/>
    <s v="Debit"/>
    <s v="No"/>
    <n v="116882.06"/>
  </r>
  <r>
    <x v="227"/>
    <d v="2025-12-14T00:00:00"/>
    <s v="Checking"/>
    <s v="Expense"/>
    <s v="Transport"/>
    <s v="BP Gas"/>
    <n v="56"/>
    <s v="Debit"/>
    <s v="No"/>
    <n v="116826.06"/>
  </r>
  <r>
    <x v="228"/>
    <d v="2025-12-14T00:00:00"/>
    <s v="Checking"/>
    <s v="Expense"/>
    <s v="Entertainment"/>
    <s v="AMC Theaters"/>
    <n v="54.91"/>
    <s v="Debit"/>
    <s v="No"/>
    <n v="116771.15"/>
  </r>
  <r>
    <x v="229"/>
    <d v="2025-12-15T00:00:00"/>
    <s v="Checking"/>
    <s v="Income"/>
    <s v="Salary"/>
    <s v="Company Payroll"/>
    <n v="4894.96"/>
    <s v="Direct Deposit"/>
    <s v="Yes"/>
    <n v="121666.11"/>
  </r>
  <r>
    <x v="230"/>
    <d v="2025-12-16T00:00:00"/>
    <s v="Checking"/>
    <s v="Expense"/>
    <s v="Transport"/>
    <s v="Uber"/>
    <n v="41.52"/>
    <s v="Debit"/>
    <s v="No"/>
    <n v="121624.59"/>
  </r>
  <r>
    <x v="231"/>
    <d v="2025-12-17T00:00:00"/>
    <s v="Checking"/>
    <s v="Expense"/>
    <s v="Dining"/>
    <s v="Uber Eats"/>
    <n v="45.7"/>
    <s v="Debit"/>
    <s v="No"/>
    <n v="121578.89"/>
  </r>
  <r>
    <x v="232"/>
    <d v="2025-12-17T00:00:00"/>
    <s v="Credit Card"/>
    <s v="Expense"/>
    <s v="Transport"/>
    <s v="BP Gas"/>
    <n v="26.57"/>
    <s v="Cash"/>
    <s v="No"/>
    <n v="121552.32000000001"/>
  </r>
  <r>
    <x v="233"/>
    <d v="2025-12-18T00:00:00"/>
    <s v="Checking"/>
    <s v="Expense"/>
    <s v="Groceries"/>
    <s v="Kroger"/>
    <n v="171.77"/>
    <s v="Credit"/>
    <s v="No"/>
    <n v="121380.55"/>
  </r>
  <r>
    <x v="234"/>
    <d v="2025-12-19T00:00:00"/>
    <s v="Credit Card"/>
    <s v="Expense"/>
    <s v="Transport"/>
    <s v="EZ Pass Toll"/>
    <n v="28.58"/>
    <s v="Credit"/>
    <s v="No"/>
    <n v="121351.97"/>
  </r>
  <r>
    <x v="235"/>
    <d v="2025-12-20T00:00:00"/>
    <s v="Checking"/>
    <s v="Expense"/>
    <s v="Dining"/>
    <s v="Panera Bread"/>
    <n v="22.13"/>
    <s v="Cash"/>
    <s v="No"/>
    <n v="121329.84"/>
  </r>
  <r>
    <x v="236"/>
    <d v="2025-12-21T00:00:00"/>
    <s v="Checking"/>
    <s v="Expense"/>
    <s v="Dining"/>
    <s v="Panera Bread"/>
    <n v="70.55"/>
    <s v="Cash"/>
    <s v="No"/>
    <n v="121259.29"/>
  </r>
  <r>
    <x v="237"/>
    <d v="2025-12-21T00:00:00"/>
    <s v="Credit Card"/>
    <s v="Expense"/>
    <s v="Transport"/>
    <s v="Lyft"/>
    <n v="15.56"/>
    <s v="Credit"/>
    <s v="No"/>
    <n v="121243.73"/>
  </r>
  <r>
    <x v="238"/>
    <d v="2025-12-22T00:00:00"/>
    <s v="Credit Card"/>
    <s v="Expense"/>
    <s v="Dining"/>
    <s v="DoorDash"/>
    <n v="68.099999999999994"/>
    <s v="Credit"/>
    <s v="No"/>
    <n v="121175.63"/>
  </r>
  <r>
    <x v="239"/>
    <d v="2025-12-23T00:00:00"/>
    <s v="Checking"/>
    <s v="Expense"/>
    <s v="Dining"/>
    <s v="Olive Garden"/>
    <n v="18.84"/>
    <s v="Cash"/>
    <s v="No"/>
    <n v="121156.79"/>
  </r>
  <r>
    <x v="240"/>
    <d v="2025-12-24T00:00:00"/>
    <s v="Credit Card"/>
    <s v="Expense"/>
    <s v="Groceries"/>
    <s v="Safeway"/>
    <n v="46.62"/>
    <s v="Debit"/>
    <s v="No"/>
    <n v="121110.17"/>
  </r>
  <r>
    <x v="241"/>
    <d v="2025-12-24T00:00:00"/>
    <s v="Credit Card"/>
    <s v="Expense"/>
    <s v="Dining"/>
    <s v="Olive Garden"/>
    <n v="20.54"/>
    <s v="Cash"/>
    <s v="No"/>
    <n v="121089.63"/>
  </r>
  <r>
    <x v="242"/>
    <d v="2025-12-25T00:00:00"/>
    <s v="Checking"/>
    <s v="Expense"/>
    <s v="Dining"/>
    <s v="Panera Bread"/>
    <n v="15.37"/>
    <s v="Credit"/>
    <s v="No"/>
    <n v="121074.26"/>
  </r>
  <r>
    <x v="243"/>
    <d v="2025-12-26T00:00:00"/>
    <s v="Checking"/>
    <s v="Expense"/>
    <s v="Transport"/>
    <s v="Uber"/>
    <n v="46.4"/>
    <s v="Credit"/>
    <s v="No"/>
    <n v="121027.86"/>
  </r>
  <r>
    <x v="244"/>
    <d v="2025-12-28T00:00:00"/>
    <s v="Checking"/>
    <s v="Expense"/>
    <s v="Transport"/>
    <s v="Shell Gas"/>
    <n v="29"/>
    <s v="Credit"/>
    <s v="No"/>
    <n v="120998.86"/>
  </r>
  <r>
    <x v="245"/>
    <d v="2025-12-29T00:00:00"/>
    <s v="Checking"/>
    <s v="Expense"/>
    <s v="Groceries"/>
    <s v="Trader Joe's"/>
    <n v="177.3"/>
    <s v="Credit"/>
    <s v="No"/>
    <n v="120821.56"/>
  </r>
  <r>
    <x v="246"/>
    <d v="2025-12-30T00:00:00"/>
    <s v="Credit Card"/>
    <s v="Expense"/>
    <s v="Dining"/>
    <s v="Local Bistro"/>
    <n v="68.02"/>
    <s v="Debit"/>
    <s v="No"/>
    <n v="120753.5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E07619-14E6-41FA-B250-B78CBEC8D036}" name="PivotTable8"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Transaction ID">
  <location ref="J3:K9" firstHeaderRow="1" firstDataRow="1" firstDataCol="1"/>
  <pivotFields count="10">
    <pivotField axis="axisRow" showAll="0" measureFilter="1">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t="default"/>
      </items>
    </pivotField>
    <pivotField numFmtId="164" showAll="0"/>
    <pivotField showAll="0"/>
    <pivotField showAll="0"/>
    <pivotField showAll="0"/>
    <pivotField showAll="0"/>
    <pivotField dataField="1" numFmtId="165" showAll="0"/>
    <pivotField showAll="0"/>
    <pivotField showAll="0"/>
    <pivotField numFmtId="165" showAll="0"/>
  </pivotFields>
  <rowFields count="1">
    <field x="0"/>
  </rowFields>
  <rowItems count="6">
    <i>
      <x v="32"/>
    </i>
    <i>
      <x v="66"/>
    </i>
    <i>
      <x v="80"/>
    </i>
    <i>
      <x v="160"/>
    </i>
    <i>
      <x v="184"/>
    </i>
    <i t="grand">
      <x/>
    </i>
  </rowItems>
  <colItems count="1">
    <i/>
  </colItems>
  <dataFields count="1">
    <dataField name="Bottom 5 Amount" fld="6" baseField="0" baseItem="32" numFmtId="166"/>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0"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E6EFCE-3A41-441E-B3EE-6540D8F57AA3}" name="PivotTable7"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Transaction ID">
  <location ref="G3:H9" firstHeaderRow="1" firstDataRow="1" firstDataCol="1"/>
  <pivotFields count="10">
    <pivotField axis="axisRow" showAll="0" measureFilter="1">
      <items count="2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t="default"/>
      </items>
    </pivotField>
    <pivotField numFmtId="164" showAll="0"/>
    <pivotField showAll="0"/>
    <pivotField showAll="0"/>
    <pivotField showAll="0"/>
    <pivotField showAll="0"/>
    <pivotField dataField="1" numFmtId="165" showAll="0"/>
    <pivotField showAll="0"/>
    <pivotField showAll="0"/>
    <pivotField numFmtId="165" showAll="0"/>
  </pivotFields>
  <rowFields count="1">
    <field x="0"/>
  </rowFields>
  <rowItems count="6">
    <i>
      <x v="21"/>
    </i>
    <i>
      <x v="58"/>
    </i>
    <i>
      <x v="118"/>
    </i>
    <i>
      <x v="188"/>
    </i>
    <i>
      <x v="229"/>
    </i>
    <i t="grand">
      <x/>
    </i>
  </rowItems>
  <colItems count="1">
    <i/>
  </colItems>
  <dataFields count="1">
    <dataField name="Top 5 Amount" fld="6" baseField="0" baseItem="21" numFmtId="166"/>
  </dataField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9700FA-FC55-4CB6-B41D-218CE25CCA96}" name="PivotTable2" cacheId="14"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Transaction ID">
  <location ref="D3:E9" firstHeaderRow="1" firstDataRow="1" firstDataCol="1"/>
  <pivotFields count="10">
    <pivotField axis="axisRow" showAll="0" measureFilter="1">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t="default"/>
      </items>
    </pivotField>
    <pivotField showAll="0"/>
    <pivotField showAll="0"/>
    <pivotField showAll="0"/>
    <pivotField showAll="0">
      <items count="10">
        <item h="1" x="2"/>
        <item h="1" x="4"/>
        <item h="1" x="7"/>
        <item h="1" x="3"/>
        <item x="1"/>
        <item h="1" x="0"/>
        <item h="1" x="6"/>
        <item h="1" x="5"/>
        <item h="1" x="8"/>
        <item t="default"/>
      </items>
    </pivotField>
    <pivotField showAll="0"/>
    <pivotField showAll="0"/>
    <pivotField showAll="0"/>
    <pivotField showAll="0"/>
    <pivotField dataField="1" showAll="0"/>
  </pivotFields>
  <rowFields count="1">
    <field x="0"/>
  </rowFields>
  <rowItems count="6">
    <i>
      <x v="1"/>
    </i>
    <i>
      <x v="43"/>
    </i>
    <i>
      <x v="79"/>
    </i>
    <i>
      <x v="119"/>
    </i>
    <i>
      <x v="167"/>
    </i>
    <i t="grand">
      <x/>
    </i>
  </rowItems>
  <colItems count="1">
    <i/>
  </colItems>
  <dataFields count="1">
    <dataField name="Sum of Bottom 5 Running Balance" fld="9" baseField="0" baseItem="229"/>
  </dataFields>
  <pivotTableStyleInfo name="PivotStyleDark19"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473BBF7-4C61-4378-8100-55F96FAA8A1D}" name="PivotTable1" cacheId="14"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Transaction ID">
  <location ref="A3:B9" firstHeaderRow="1" firstDataRow="1" firstDataCol="1"/>
  <pivotFields count="10">
    <pivotField axis="axisRow" showAll="0" measureFilter="1">
      <items count="2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t="default"/>
      </items>
    </pivotField>
    <pivotField showAll="0"/>
    <pivotField showAll="0"/>
    <pivotField showAll="0">
      <items count="4">
        <item h="1" x="1"/>
        <item h="1" x="0"/>
        <item x="2"/>
        <item t="default"/>
      </items>
    </pivotField>
    <pivotField showAll="0">
      <items count="10">
        <item h="1" x="2"/>
        <item h="1" x="4"/>
        <item h="1" x="7"/>
        <item h="1" x="3"/>
        <item x="1"/>
        <item h="1" x="0"/>
        <item h="1" x="6"/>
        <item h="1" x="5"/>
        <item h="1" x="8"/>
        <item t="default"/>
      </items>
    </pivotField>
    <pivotField showAll="0"/>
    <pivotField showAll="0"/>
    <pivotField showAll="0"/>
    <pivotField showAll="0">
      <items count="4">
        <item x="1"/>
        <item x="0"/>
        <item x="2"/>
        <item t="default"/>
      </items>
    </pivotField>
    <pivotField dataField="1" showAll="0">
      <items count="249">
        <item x="20"/>
        <item x="19"/>
        <item x="18"/>
        <item x="17"/>
        <item x="16"/>
        <item x="15"/>
        <item x="14"/>
        <item x="13"/>
        <item x="12"/>
        <item x="11"/>
        <item x="10"/>
        <item x="9"/>
        <item x="8"/>
        <item x="7"/>
        <item x="6"/>
        <item x="5"/>
        <item x="4"/>
        <item x="3"/>
        <item x="2"/>
        <item x="1"/>
        <item x="0"/>
        <item x="41"/>
        <item x="40"/>
        <item x="39"/>
        <item x="38"/>
        <item x="37"/>
        <item x="36"/>
        <item x="35"/>
        <item x="34"/>
        <item x="33"/>
        <item x="32"/>
        <item x="31"/>
        <item x="30"/>
        <item x="29"/>
        <item x="28"/>
        <item x="27"/>
        <item x="26"/>
        <item x="25"/>
        <item x="24"/>
        <item x="23"/>
        <item x="22"/>
        <item x="21"/>
        <item x="50"/>
        <item x="49"/>
        <item x="48"/>
        <item x="47"/>
        <item x="46"/>
        <item x="45"/>
        <item x="57"/>
        <item x="56"/>
        <item x="44"/>
        <item x="55"/>
        <item x="43"/>
        <item x="54"/>
        <item x="53"/>
        <item x="52"/>
        <item x="51"/>
        <item x="42"/>
        <item x="62"/>
        <item x="61"/>
        <item x="60"/>
        <item x="77"/>
        <item x="76"/>
        <item x="75"/>
        <item x="59"/>
        <item x="74"/>
        <item x="73"/>
        <item x="58"/>
        <item x="72"/>
        <item x="71"/>
        <item x="70"/>
        <item x="69"/>
        <item x="112"/>
        <item x="68"/>
        <item x="111"/>
        <item x="67"/>
        <item x="110"/>
        <item x="109"/>
        <item x="66"/>
        <item x="65"/>
        <item x="108"/>
        <item x="107"/>
        <item x="106"/>
        <item x="64"/>
        <item x="105"/>
        <item x="104"/>
        <item x="103"/>
        <item x="63"/>
        <item x="102"/>
        <item x="101"/>
        <item x="100"/>
        <item x="99"/>
        <item x="98"/>
        <item x="97"/>
        <item x="96"/>
        <item x="117"/>
        <item x="95"/>
        <item x="116"/>
        <item x="115"/>
        <item x="114"/>
        <item x="113"/>
        <item x="94"/>
        <item x="93"/>
        <item x="92"/>
        <item x="91"/>
        <item x="90"/>
        <item x="89"/>
        <item x="88"/>
        <item x="87"/>
        <item x="86"/>
        <item x="85"/>
        <item x="84"/>
        <item x="83"/>
        <item x="82"/>
        <item x="81"/>
        <item x="80"/>
        <item x="79"/>
        <item x="148"/>
        <item x="136"/>
        <item x="147"/>
        <item x="135"/>
        <item x="146"/>
        <item x="134"/>
        <item x="133"/>
        <item x="145"/>
        <item x="132"/>
        <item x="144"/>
        <item x="143"/>
        <item x="142"/>
        <item x="131"/>
        <item x="141"/>
        <item x="140"/>
        <item x="139"/>
        <item x="138"/>
        <item x="130"/>
        <item x="129"/>
        <item x="78"/>
        <item x="128"/>
        <item x="137"/>
        <item x="127"/>
        <item x="126"/>
        <item x="125"/>
        <item x="124"/>
        <item x="123"/>
        <item x="122"/>
        <item x="121"/>
        <item x="120"/>
        <item x="119"/>
        <item x="118"/>
        <item x="187"/>
        <item x="186"/>
        <item x="185"/>
        <item x="184"/>
        <item x="183"/>
        <item x="182"/>
        <item x="181"/>
        <item x="180"/>
        <item x="179"/>
        <item x="178"/>
        <item x="177"/>
        <item x="176"/>
        <item x="175"/>
        <item x="174"/>
        <item x="173"/>
        <item x="172"/>
        <item x="171"/>
        <item x="170"/>
        <item x="169"/>
        <item x="168"/>
        <item x="167"/>
        <item x="151"/>
        <item x="150"/>
        <item x="149"/>
        <item x="154"/>
        <item x="161"/>
        <item x="153"/>
        <item x="160"/>
        <item x="152"/>
        <item x="159"/>
        <item x="158"/>
        <item x="157"/>
        <item x="156"/>
        <item x="166"/>
        <item x="165"/>
        <item x="155"/>
        <item x="164"/>
        <item x="163"/>
        <item x="162"/>
        <item x="205"/>
        <item x="204"/>
        <item x="203"/>
        <item x="202"/>
        <item x="201"/>
        <item x="200"/>
        <item x="199"/>
        <item x="198"/>
        <item x="197"/>
        <item x="196"/>
        <item x="195"/>
        <item x="194"/>
        <item x="193"/>
        <item x="192"/>
        <item x="191"/>
        <item x="190"/>
        <item x="189"/>
        <item x="188"/>
        <item x="228"/>
        <item x="227"/>
        <item x="226"/>
        <item x="225"/>
        <item x="224"/>
        <item x="223"/>
        <item x="222"/>
        <item x="221"/>
        <item x="220"/>
        <item x="219"/>
        <item x="218"/>
        <item x="217"/>
        <item x="216"/>
        <item x="215"/>
        <item x="214"/>
        <item x="213"/>
        <item x="212"/>
        <item x="211"/>
        <item x="210"/>
        <item x="209"/>
        <item x="208"/>
        <item x="207"/>
        <item x="206"/>
        <item x="246"/>
        <item x="245"/>
        <item x="244"/>
        <item x="243"/>
        <item x="242"/>
        <item x="241"/>
        <item x="240"/>
        <item x="239"/>
        <item x="238"/>
        <item x="237"/>
        <item x="236"/>
        <item x="235"/>
        <item x="234"/>
        <item x="233"/>
        <item x="232"/>
        <item x="231"/>
        <item x="230"/>
        <item x="229"/>
        <item x="247"/>
        <item t="default"/>
      </items>
    </pivotField>
  </pivotFields>
  <rowFields count="1">
    <field x="0"/>
  </rowFields>
  <rowItems count="6">
    <i>
      <x v="1"/>
    </i>
    <i>
      <x v="43"/>
    </i>
    <i>
      <x v="79"/>
    </i>
    <i>
      <x v="119"/>
    </i>
    <i>
      <x v="167"/>
    </i>
    <i t="grand">
      <x/>
    </i>
  </rowItems>
  <colItems count="1">
    <i/>
  </colItems>
  <dataFields count="1">
    <dataField name="Sum of TOP 5 Running Balance" fld="9" baseField="0" baseItem="229"/>
  </dataFields>
  <chartFormats count="2">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233"/>
          </reference>
        </references>
      </pivotArea>
    </chartFormat>
  </chartFormats>
  <pivotTableStyleInfo name="PivotStyleDark19"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32BD798-492B-4E4D-ADF7-2434ECC15A08}" sourceName="Category">
  <pivotTables>
    <pivotTable tabId="2" name="PivotTable1"/>
    <pivotTable tabId="2" name="PivotTable2"/>
  </pivotTables>
  <data>
    <tabular pivotCacheId="1257147211">
      <items count="9">
        <i x="2"/>
        <i x="4"/>
        <i x="7"/>
        <i x="3"/>
        <i x="1" s="1"/>
        <i x="0"/>
        <i x="6"/>
        <i x="5"/>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B21B43E2-1AAE-4E8B-9B18-A4EA7DD583CA}" cache="Slicer_Category" caption="Category" columnCount="9" showCaption="0" style="Slicer Style 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0D9E5-B09F-4BE6-8A95-4DE4F7FA9B20}">
  <sheetPr codeName="Sheet1"/>
  <dimension ref="A1"/>
  <sheetViews>
    <sheetView workbookViewId="0">
      <selection activeCell="A3" sqref="A3"/>
    </sheetView>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41190-9688-4487-B99C-19C4D0F7100F}">
  <sheetPr codeName="Sheet2"/>
  <dimension ref="A1:K20"/>
  <sheetViews>
    <sheetView tabSelected="1" workbookViewId="0">
      <selection activeCell="M17" sqref="M17"/>
    </sheetView>
  </sheetViews>
  <sheetFormatPr defaultRowHeight="14.4" x14ac:dyDescent="0.3"/>
  <cols>
    <col min="1" max="1" width="15" bestFit="1" customWidth="1"/>
    <col min="2" max="2" width="28.109375" customWidth="1"/>
    <col min="3" max="3" width="2.77734375" customWidth="1"/>
    <col min="4" max="4" width="15.33203125" customWidth="1"/>
    <col min="5" max="5" width="30.21875" customWidth="1"/>
    <col min="6" max="6" width="2.5546875" customWidth="1"/>
    <col min="7" max="7" width="15" bestFit="1" customWidth="1"/>
    <col min="8" max="8" width="13.88671875" customWidth="1"/>
    <col min="9" max="9" width="2.5546875" customWidth="1"/>
    <col min="10" max="10" width="15" bestFit="1" customWidth="1"/>
    <col min="11" max="11" width="15.33203125" bestFit="1" customWidth="1"/>
  </cols>
  <sheetData>
    <row r="1" spans="1:11" x14ac:dyDescent="0.3">
      <c r="A1" s="8"/>
      <c r="B1" s="8"/>
      <c r="C1" s="8"/>
      <c r="D1" s="8"/>
      <c r="E1" s="8"/>
      <c r="F1" s="8"/>
      <c r="G1" s="8"/>
      <c r="H1" s="8"/>
      <c r="I1" s="8"/>
      <c r="J1" s="8"/>
      <c r="K1" s="8"/>
    </row>
    <row r="2" spans="1:11" ht="51" customHeight="1" x14ac:dyDescent="0.3">
      <c r="A2" s="8"/>
      <c r="B2" s="8"/>
      <c r="C2" s="8"/>
      <c r="D2" s="8"/>
      <c r="E2" s="8"/>
      <c r="F2" s="8"/>
      <c r="G2" s="8"/>
      <c r="H2" s="8"/>
      <c r="I2" s="8"/>
      <c r="J2" s="8"/>
      <c r="K2" s="8"/>
    </row>
    <row r="3" spans="1:11" x14ac:dyDescent="0.3">
      <c r="A3" s="4" t="s">
        <v>0</v>
      </c>
      <c r="B3" t="s">
        <v>324</v>
      </c>
      <c r="D3" s="4" t="s">
        <v>0</v>
      </c>
      <c r="E3" t="s">
        <v>325</v>
      </c>
      <c r="G3" s="4" t="s">
        <v>0</v>
      </c>
      <c r="H3" t="s">
        <v>322</v>
      </c>
      <c r="J3" s="4" t="s">
        <v>0</v>
      </c>
      <c r="K3" t="s">
        <v>323</v>
      </c>
    </row>
    <row r="4" spans="1:11" x14ac:dyDescent="0.3">
      <c r="A4" s="5" t="s">
        <v>17</v>
      </c>
      <c r="B4" s="6">
        <v>7130.48</v>
      </c>
      <c r="D4" s="5" t="s">
        <v>17</v>
      </c>
      <c r="E4" s="6">
        <v>7130.48</v>
      </c>
      <c r="G4" s="5" t="s">
        <v>65</v>
      </c>
      <c r="H4" s="7">
        <v>4854.8999999999996</v>
      </c>
      <c r="J4" s="5" t="s">
        <v>80</v>
      </c>
      <c r="K4" s="7">
        <v>9.59</v>
      </c>
    </row>
    <row r="5" spans="1:11" x14ac:dyDescent="0.3">
      <c r="A5" s="5" t="s">
        <v>95</v>
      </c>
      <c r="B5" s="6">
        <v>12245.2</v>
      </c>
      <c r="D5" s="5" t="s">
        <v>95</v>
      </c>
      <c r="E5" s="6">
        <v>12245.2</v>
      </c>
      <c r="G5" s="5" t="s">
        <v>119</v>
      </c>
      <c r="H5" s="7">
        <v>4671.47</v>
      </c>
      <c r="J5" s="5" t="s">
        <v>130</v>
      </c>
      <c r="K5" s="7">
        <v>9.76</v>
      </c>
    </row>
    <row r="6" spans="1:11" x14ac:dyDescent="0.3">
      <c r="A6" s="5" t="s">
        <v>144</v>
      </c>
      <c r="B6" s="6">
        <v>19363.39</v>
      </c>
      <c r="D6" s="5" t="s">
        <v>144</v>
      </c>
      <c r="E6" s="6">
        <v>19363.39</v>
      </c>
      <c r="G6" s="5" t="s">
        <v>189</v>
      </c>
      <c r="H6" s="7">
        <v>4992.96</v>
      </c>
      <c r="J6" s="5" t="s">
        <v>145</v>
      </c>
      <c r="K6" s="7">
        <v>10.1</v>
      </c>
    </row>
    <row r="7" spans="1:11" x14ac:dyDescent="0.3">
      <c r="A7" s="5" t="s">
        <v>190</v>
      </c>
      <c r="B7" s="6">
        <v>21730.639999999999</v>
      </c>
      <c r="D7" s="5" t="s">
        <v>190</v>
      </c>
      <c r="E7" s="6">
        <v>21730.639999999999</v>
      </c>
      <c r="G7" s="5" t="s">
        <v>262</v>
      </c>
      <c r="H7" s="7">
        <v>5218.3999999999996</v>
      </c>
      <c r="J7" s="5" t="s">
        <v>234</v>
      </c>
      <c r="K7" s="7">
        <v>9.02</v>
      </c>
    </row>
    <row r="8" spans="1:11" x14ac:dyDescent="0.3">
      <c r="A8" s="5" t="s">
        <v>241</v>
      </c>
      <c r="B8" s="6">
        <v>111638.26</v>
      </c>
      <c r="D8" s="5" t="s">
        <v>241</v>
      </c>
      <c r="E8" s="6">
        <v>111638.26</v>
      </c>
      <c r="G8" s="5" t="s">
        <v>303</v>
      </c>
      <c r="H8" s="7">
        <v>4894.96</v>
      </c>
      <c r="J8" s="5" t="s">
        <v>258</v>
      </c>
      <c r="K8" s="7">
        <v>5.07</v>
      </c>
    </row>
    <row r="9" spans="1:11" x14ac:dyDescent="0.3">
      <c r="A9" s="5" t="s">
        <v>321</v>
      </c>
      <c r="B9" s="6">
        <v>172107.97</v>
      </c>
      <c r="D9" s="5" t="s">
        <v>321</v>
      </c>
      <c r="E9" s="6">
        <v>172107.97</v>
      </c>
      <c r="G9" s="5" t="s">
        <v>321</v>
      </c>
      <c r="H9" s="7">
        <v>24632.689999999995</v>
      </c>
      <c r="J9" s="5" t="s">
        <v>321</v>
      </c>
      <c r="K9" s="7">
        <v>43.54</v>
      </c>
    </row>
    <row r="10" spans="1:11" x14ac:dyDescent="0.3">
      <c r="A10" s="8"/>
      <c r="B10" s="8"/>
      <c r="C10" s="8"/>
      <c r="D10" s="8"/>
      <c r="E10" s="8"/>
      <c r="F10" s="8"/>
      <c r="G10" s="8"/>
      <c r="H10" s="8"/>
      <c r="I10" s="8"/>
      <c r="J10" s="8"/>
      <c r="K10" s="8"/>
    </row>
    <row r="11" spans="1:11" x14ac:dyDescent="0.3">
      <c r="A11" s="8"/>
      <c r="B11" s="8"/>
      <c r="C11" s="8"/>
      <c r="D11" s="8"/>
      <c r="E11" s="8"/>
      <c r="F11" s="8"/>
      <c r="G11" s="8"/>
      <c r="H11" s="8"/>
      <c r="I11" s="8"/>
      <c r="J11" s="8"/>
      <c r="K11" s="8"/>
    </row>
    <row r="12" spans="1:11" x14ac:dyDescent="0.3">
      <c r="A12" s="8"/>
      <c r="B12" s="8"/>
      <c r="C12" s="8"/>
      <c r="D12" s="8"/>
      <c r="E12" s="8"/>
      <c r="F12" s="8"/>
      <c r="G12" s="8"/>
      <c r="H12" s="8"/>
      <c r="I12" s="8"/>
      <c r="J12" s="8"/>
      <c r="K12" s="8"/>
    </row>
    <row r="13" spans="1:11" x14ac:dyDescent="0.3">
      <c r="A13" s="8"/>
      <c r="B13" s="8"/>
      <c r="C13" s="8"/>
      <c r="D13" s="8"/>
      <c r="E13" s="8"/>
      <c r="F13" s="8"/>
      <c r="G13" s="8"/>
      <c r="H13" s="8"/>
      <c r="I13" s="8"/>
      <c r="J13" s="8"/>
      <c r="K13" s="8"/>
    </row>
    <row r="14" spans="1:11" x14ac:dyDescent="0.3">
      <c r="A14" s="8"/>
      <c r="B14" s="8"/>
      <c r="C14" s="8"/>
      <c r="D14" s="8"/>
      <c r="E14" s="8"/>
      <c r="F14" s="8"/>
      <c r="G14" s="8"/>
      <c r="H14" s="8"/>
      <c r="I14" s="8"/>
      <c r="J14" s="8"/>
      <c r="K14" s="8"/>
    </row>
    <row r="15" spans="1:11" x14ac:dyDescent="0.3">
      <c r="A15" s="8"/>
      <c r="B15" s="8"/>
      <c r="C15" s="8"/>
      <c r="D15" s="8"/>
      <c r="E15" s="8"/>
      <c r="F15" s="8"/>
      <c r="G15" s="8"/>
      <c r="H15" s="8"/>
      <c r="I15" s="8"/>
      <c r="J15" s="8"/>
      <c r="K15" s="8"/>
    </row>
    <row r="16" spans="1:11" x14ac:dyDescent="0.3">
      <c r="A16" s="8"/>
      <c r="B16" s="8"/>
      <c r="C16" s="8"/>
      <c r="D16" s="8"/>
      <c r="E16" s="8"/>
      <c r="F16" s="8"/>
      <c r="G16" s="8"/>
      <c r="H16" s="8"/>
      <c r="I16" s="8"/>
      <c r="J16" s="8"/>
      <c r="K16" s="8"/>
    </row>
    <row r="17" spans="1:11" x14ac:dyDescent="0.3">
      <c r="A17" s="8"/>
      <c r="B17" s="8"/>
      <c r="C17" s="8"/>
      <c r="D17" s="8"/>
      <c r="E17" s="8"/>
      <c r="F17" s="8"/>
      <c r="G17" s="8"/>
      <c r="H17" s="8"/>
      <c r="I17" s="8"/>
      <c r="J17" s="8"/>
      <c r="K17" s="8"/>
    </row>
    <row r="18" spans="1:11" x14ac:dyDescent="0.3">
      <c r="A18" s="8"/>
      <c r="B18" s="8"/>
      <c r="C18" s="8"/>
      <c r="D18" s="8"/>
      <c r="E18" s="8"/>
      <c r="F18" s="8"/>
      <c r="G18" s="8"/>
      <c r="H18" s="8"/>
      <c r="I18" s="8"/>
      <c r="J18" s="8"/>
      <c r="K18" s="8"/>
    </row>
    <row r="19" spans="1:11" x14ac:dyDescent="0.3">
      <c r="A19" s="8"/>
      <c r="B19" s="8"/>
      <c r="C19" s="8"/>
      <c r="D19" s="8"/>
      <c r="E19" s="8"/>
      <c r="F19" s="8"/>
      <c r="G19" s="8"/>
      <c r="H19" s="8"/>
      <c r="I19" s="8"/>
      <c r="J19" s="8"/>
      <c r="K19" s="8"/>
    </row>
    <row r="20" spans="1:11" x14ac:dyDescent="0.3">
      <c r="A20" s="8"/>
      <c r="B20" s="8"/>
      <c r="C20" s="8"/>
      <c r="D20" s="8"/>
      <c r="E20" s="8"/>
      <c r="F20" s="8"/>
      <c r="G20" s="8"/>
      <c r="H20" s="8"/>
      <c r="I20" s="8"/>
      <c r="J20" s="8"/>
      <c r="K20" s="8"/>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BA495-646D-4912-9548-747268CBA359}">
  <sheetPr codeName="Sheet3"/>
  <dimension ref="A1:J248"/>
  <sheetViews>
    <sheetView workbookViewId="0">
      <pane ySplit="1" topLeftCell="A2" activePane="bottomLeft" state="frozen"/>
      <selection pane="bottomLeft" activeCell="J256" sqref="A1:XFD1048576"/>
    </sheetView>
  </sheetViews>
  <sheetFormatPr defaultRowHeight="14.4" x14ac:dyDescent="0.3"/>
  <cols>
    <col min="1" max="1" width="12.88671875" bestFit="1" customWidth="1"/>
    <col min="2" max="3" width="10.109375" bestFit="1" customWidth="1"/>
    <col min="4" max="4" width="7.5546875" bestFit="1" customWidth="1"/>
    <col min="5" max="5" width="12.33203125" bestFit="1" customWidth="1"/>
    <col min="6" max="6" width="22.21875" bestFit="1" customWidth="1"/>
    <col min="7" max="7" width="8.88671875" bestFit="1" customWidth="1"/>
    <col min="8" max="8" width="14.88671875" bestFit="1" customWidth="1"/>
    <col min="9" max="9" width="10.77734375" bestFit="1" customWidth="1"/>
    <col min="10" max="10" width="15" bestFit="1" customWidth="1"/>
  </cols>
  <sheetData>
    <row r="1" spans="1:10" x14ac:dyDescent="0.3">
      <c r="A1" s="1" t="s">
        <v>0</v>
      </c>
      <c r="B1" s="1" t="s">
        <v>1</v>
      </c>
      <c r="C1" s="1" t="s">
        <v>2</v>
      </c>
      <c r="D1" s="1" t="s">
        <v>3</v>
      </c>
      <c r="E1" s="1" t="s">
        <v>4</v>
      </c>
      <c r="F1" s="1" t="s">
        <v>5</v>
      </c>
      <c r="G1" s="1" t="s">
        <v>6</v>
      </c>
      <c r="H1" s="1" t="s">
        <v>7</v>
      </c>
      <c r="I1" s="1" t="s">
        <v>8</v>
      </c>
      <c r="J1" s="1" t="s">
        <v>9</v>
      </c>
    </row>
    <row r="2" spans="1:10" x14ac:dyDescent="0.3">
      <c r="A2" t="s">
        <v>10</v>
      </c>
      <c r="B2" s="2">
        <v>45292</v>
      </c>
      <c r="C2" t="s">
        <v>11</v>
      </c>
      <c r="D2" t="s">
        <v>12</v>
      </c>
      <c r="E2" t="s">
        <v>13</v>
      </c>
      <c r="F2" t="s">
        <v>14</v>
      </c>
      <c r="G2" s="3">
        <v>4039.07</v>
      </c>
      <c r="H2" t="s">
        <v>15</v>
      </c>
      <c r="I2" t="s">
        <v>16</v>
      </c>
      <c r="J2" s="3">
        <v>9039.07</v>
      </c>
    </row>
    <row r="3" spans="1:10" x14ac:dyDescent="0.3">
      <c r="A3" t="s">
        <v>17</v>
      </c>
      <c r="B3" s="2">
        <v>45292</v>
      </c>
      <c r="C3" t="s">
        <v>11</v>
      </c>
      <c r="D3" t="s">
        <v>18</v>
      </c>
      <c r="E3" t="s">
        <v>19</v>
      </c>
      <c r="F3" t="s">
        <v>20</v>
      </c>
      <c r="G3" s="3">
        <v>1908.59</v>
      </c>
      <c r="H3" t="s">
        <v>21</v>
      </c>
      <c r="I3" t="s">
        <v>16</v>
      </c>
      <c r="J3" s="3">
        <v>7130.48</v>
      </c>
    </row>
    <row r="4" spans="1:10" x14ac:dyDescent="0.3">
      <c r="A4" t="s">
        <v>22</v>
      </c>
      <c r="B4" s="2">
        <v>45292</v>
      </c>
      <c r="C4" t="s">
        <v>11</v>
      </c>
      <c r="D4" t="s">
        <v>18</v>
      </c>
      <c r="E4" t="s">
        <v>23</v>
      </c>
      <c r="F4" t="s">
        <v>24</v>
      </c>
      <c r="G4" s="3">
        <v>16.43</v>
      </c>
      <c r="H4" t="s">
        <v>25</v>
      </c>
      <c r="I4" t="s">
        <v>26</v>
      </c>
      <c r="J4" s="3">
        <v>7114.05</v>
      </c>
    </row>
    <row r="5" spans="1:10" x14ac:dyDescent="0.3">
      <c r="A5" t="s">
        <v>27</v>
      </c>
      <c r="B5" s="2">
        <v>45293</v>
      </c>
      <c r="C5" t="s">
        <v>11</v>
      </c>
      <c r="D5" t="s">
        <v>18</v>
      </c>
      <c r="E5" t="s">
        <v>28</v>
      </c>
      <c r="F5" t="s">
        <v>29</v>
      </c>
      <c r="G5" s="3">
        <v>176.78</v>
      </c>
      <c r="H5" t="s">
        <v>30</v>
      </c>
      <c r="I5" t="s">
        <v>26</v>
      </c>
      <c r="J5" s="3">
        <v>6937.27</v>
      </c>
    </row>
    <row r="6" spans="1:10" x14ac:dyDescent="0.3">
      <c r="A6" t="s">
        <v>31</v>
      </c>
      <c r="B6" s="2">
        <v>45294</v>
      </c>
      <c r="C6" t="s">
        <v>11</v>
      </c>
      <c r="D6" t="s">
        <v>18</v>
      </c>
      <c r="E6" t="s">
        <v>23</v>
      </c>
      <c r="F6" t="s">
        <v>32</v>
      </c>
      <c r="G6" s="3">
        <v>35.99</v>
      </c>
      <c r="H6" t="s">
        <v>30</v>
      </c>
      <c r="I6" t="s">
        <v>26</v>
      </c>
      <c r="J6" s="3">
        <v>6901.28</v>
      </c>
    </row>
    <row r="7" spans="1:10" x14ac:dyDescent="0.3">
      <c r="A7" t="s">
        <v>33</v>
      </c>
      <c r="B7" s="2">
        <v>45295</v>
      </c>
      <c r="C7" t="s">
        <v>11</v>
      </c>
      <c r="D7" t="s">
        <v>18</v>
      </c>
      <c r="E7" t="s">
        <v>28</v>
      </c>
      <c r="F7" t="s">
        <v>29</v>
      </c>
      <c r="G7" s="3">
        <v>16.920000000000002</v>
      </c>
      <c r="H7" t="s">
        <v>34</v>
      </c>
      <c r="I7" t="s">
        <v>26</v>
      </c>
      <c r="J7" s="3">
        <v>6884.36</v>
      </c>
    </row>
    <row r="8" spans="1:10" x14ac:dyDescent="0.3">
      <c r="A8" t="s">
        <v>35</v>
      </c>
      <c r="B8" s="2">
        <v>45295</v>
      </c>
      <c r="C8" t="s">
        <v>36</v>
      </c>
      <c r="D8" t="s">
        <v>18</v>
      </c>
      <c r="E8" t="s">
        <v>23</v>
      </c>
      <c r="F8" t="s">
        <v>37</v>
      </c>
      <c r="G8" s="3">
        <v>58.45</v>
      </c>
      <c r="H8" t="s">
        <v>30</v>
      </c>
      <c r="I8" t="s">
        <v>26</v>
      </c>
      <c r="J8" s="3">
        <v>6825.91</v>
      </c>
    </row>
    <row r="9" spans="1:10" x14ac:dyDescent="0.3">
      <c r="A9" t="s">
        <v>38</v>
      </c>
      <c r="B9" s="2">
        <v>45295</v>
      </c>
      <c r="C9" t="s">
        <v>36</v>
      </c>
      <c r="D9" t="s">
        <v>18</v>
      </c>
      <c r="E9" t="s">
        <v>39</v>
      </c>
      <c r="F9" t="s">
        <v>40</v>
      </c>
      <c r="G9" s="3">
        <v>64.040000000000006</v>
      </c>
      <c r="H9" t="s">
        <v>34</v>
      </c>
      <c r="I9" t="s">
        <v>26</v>
      </c>
      <c r="J9" s="3">
        <v>6761.87</v>
      </c>
    </row>
    <row r="10" spans="1:10" x14ac:dyDescent="0.3">
      <c r="A10" t="s">
        <v>41</v>
      </c>
      <c r="B10" s="2">
        <v>45297</v>
      </c>
      <c r="C10" t="s">
        <v>36</v>
      </c>
      <c r="D10" t="s">
        <v>18</v>
      </c>
      <c r="E10" t="s">
        <v>23</v>
      </c>
      <c r="F10" t="s">
        <v>37</v>
      </c>
      <c r="G10" s="3">
        <v>65.92</v>
      </c>
      <c r="H10" t="s">
        <v>30</v>
      </c>
      <c r="I10" t="s">
        <v>26</v>
      </c>
      <c r="J10" s="3">
        <v>6695.95</v>
      </c>
    </row>
    <row r="11" spans="1:10" x14ac:dyDescent="0.3">
      <c r="A11" t="s">
        <v>42</v>
      </c>
      <c r="B11" s="2">
        <v>45298</v>
      </c>
      <c r="C11" t="s">
        <v>11</v>
      </c>
      <c r="D11" t="s">
        <v>18</v>
      </c>
      <c r="E11" t="s">
        <v>43</v>
      </c>
      <c r="F11" t="s">
        <v>44</v>
      </c>
      <c r="G11" s="3">
        <v>134.22999999999999</v>
      </c>
      <c r="H11" t="s">
        <v>21</v>
      </c>
      <c r="I11" t="s">
        <v>16</v>
      </c>
      <c r="J11" s="3">
        <v>6561.72</v>
      </c>
    </row>
    <row r="12" spans="1:10" x14ac:dyDescent="0.3">
      <c r="A12" t="s">
        <v>45</v>
      </c>
      <c r="B12" s="2">
        <v>45298</v>
      </c>
      <c r="C12" t="s">
        <v>36</v>
      </c>
      <c r="D12" t="s">
        <v>18</v>
      </c>
      <c r="E12" t="s">
        <v>23</v>
      </c>
      <c r="F12" t="s">
        <v>32</v>
      </c>
      <c r="G12" s="3">
        <v>83.07</v>
      </c>
      <c r="H12" t="s">
        <v>25</v>
      </c>
      <c r="I12" t="s">
        <v>26</v>
      </c>
      <c r="J12" s="3">
        <v>6478.65</v>
      </c>
    </row>
    <row r="13" spans="1:10" x14ac:dyDescent="0.3">
      <c r="A13" t="s">
        <v>46</v>
      </c>
      <c r="B13" s="2">
        <v>45298</v>
      </c>
      <c r="C13" t="s">
        <v>36</v>
      </c>
      <c r="D13" t="s">
        <v>18</v>
      </c>
      <c r="E13" t="s">
        <v>47</v>
      </c>
      <c r="F13" t="s">
        <v>48</v>
      </c>
      <c r="G13" s="3">
        <v>40.6</v>
      </c>
      <c r="H13" t="s">
        <v>34</v>
      </c>
      <c r="I13" t="s">
        <v>26</v>
      </c>
      <c r="J13" s="3">
        <v>6438.05</v>
      </c>
    </row>
    <row r="14" spans="1:10" x14ac:dyDescent="0.3">
      <c r="A14" t="s">
        <v>49</v>
      </c>
      <c r="B14" s="2">
        <v>45299</v>
      </c>
      <c r="C14" t="s">
        <v>36</v>
      </c>
      <c r="D14" t="s">
        <v>18</v>
      </c>
      <c r="E14" t="s">
        <v>43</v>
      </c>
      <c r="F14" t="s">
        <v>50</v>
      </c>
      <c r="G14" s="3">
        <v>177.29</v>
      </c>
      <c r="H14" t="s">
        <v>21</v>
      </c>
      <c r="I14" t="s">
        <v>16</v>
      </c>
      <c r="J14" s="3">
        <v>6260.76</v>
      </c>
    </row>
    <row r="15" spans="1:10" x14ac:dyDescent="0.3">
      <c r="A15" t="s">
        <v>51</v>
      </c>
      <c r="B15" s="2">
        <v>45299</v>
      </c>
      <c r="C15" t="s">
        <v>36</v>
      </c>
      <c r="D15" t="s">
        <v>18</v>
      </c>
      <c r="E15" t="s">
        <v>28</v>
      </c>
      <c r="F15" t="s">
        <v>52</v>
      </c>
      <c r="G15" s="3">
        <v>175.53</v>
      </c>
      <c r="H15" t="s">
        <v>30</v>
      </c>
      <c r="I15" t="s">
        <v>26</v>
      </c>
      <c r="J15" s="3">
        <v>6085.23</v>
      </c>
    </row>
    <row r="16" spans="1:10" x14ac:dyDescent="0.3">
      <c r="A16" t="s">
        <v>53</v>
      </c>
      <c r="B16" s="2">
        <v>45301</v>
      </c>
      <c r="C16" t="s">
        <v>11</v>
      </c>
      <c r="D16" t="s">
        <v>18</v>
      </c>
      <c r="E16" t="s">
        <v>23</v>
      </c>
      <c r="F16" t="s">
        <v>54</v>
      </c>
      <c r="G16" s="3">
        <v>84.46</v>
      </c>
      <c r="H16" t="s">
        <v>25</v>
      </c>
      <c r="I16" t="s">
        <v>26</v>
      </c>
      <c r="J16" s="3">
        <v>6000.77</v>
      </c>
    </row>
    <row r="17" spans="1:10" x14ac:dyDescent="0.3">
      <c r="A17" t="s">
        <v>55</v>
      </c>
      <c r="B17" s="2">
        <v>45301</v>
      </c>
      <c r="C17" t="s">
        <v>11</v>
      </c>
      <c r="D17" t="s">
        <v>18</v>
      </c>
      <c r="E17" t="s">
        <v>47</v>
      </c>
      <c r="F17" t="s">
        <v>56</v>
      </c>
      <c r="G17" s="3">
        <v>58.59</v>
      </c>
      <c r="H17" t="s">
        <v>34</v>
      </c>
      <c r="I17" t="s">
        <v>26</v>
      </c>
      <c r="J17" s="3">
        <v>5942.18</v>
      </c>
    </row>
    <row r="18" spans="1:10" x14ac:dyDescent="0.3">
      <c r="A18" t="s">
        <v>57</v>
      </c>
      <c r="B18" s="2">
        <v>45302</v>
      </c>
      <c r="C18" t="s">
        <v>36</v>
      </c>
      <c r="D18" t="s">
        <v>18</v>
      </c>
      <c r="E18" t="s">
        <v>28</v>
      </c>
      <c r="F18" t="s">
        <v>58</v>
      </c>
      <c r="G18" s="3">
        <v>178.74</v>
      </c>
      <c r="H18" t="s">
        <v>34</v>
      </c>
      <c r="I18" t="s">
        <v>26</v>
      </c>
      <c r="J18" s="3">
        <v>5763.44</v>
      </c>
    </row>
    <row r="19" spans="1:10" x14ac:dyDescent="0.3">
      <c r="A19" t="s">
        <v>59</v>
      </c>
      <c r="B19" s="2">
        <v>45302</v>
      </c>
      <c r="C19" t="s">
        <v>11</v>
      </c>
      <c r="D19" t="s">
        <v>18</v>
      </c>
      <c r="E19" t="s">
        <v>47</v>
      </c>
      <c r="F19" t="s">
        <v>60</v>
      </c>
      <c r="G19" s="3">
        <v>45.57</v>
      </c>
      <c r="H19" t="s">
        <v>25</v>
      </c>
      <c r="I19" t="s">
        <v>26</v>
      </c>
      <c r="J19" s="3">
        <v>5717.87</v>
      </c>
    </row>
    <row r="20" spans="1:10" x14ac:dyDescent="0.3">
      <c r="A20" t="s">
        <v>61</v>
      </c>
      <c r="B20" s="2">
        <v>45303</v>
      </c>
      <c r="C20" t="s">
        <v>36</v>
      </c>
      <c r="D20" t="s">
        <v>18</v>
      </c>
      <c r="E20" t="s">
        <v>47</v>
      </c>
      <c r="F20" t="s">
        <v>48</v>
      </c>
      <c r="G20" s="3">
        <v>36.92</v>
      </c>
      <c r="H20" t="s">
        <v>34</v>
      </c>
      <c r="I20" t="s">
        <v>26</v>
      </c>
      <c r="J20" s="3">
        <v>5680.95</v>
      </c>
    </row>
    <row r="21" spans="1:10" x14ac:dyDescent="0.3">
      <c r="A21" t="s">
        <v>62</v>
      </c>
      <c r="B21" s="2">
        <v>45304</v>
      </c>
      <c r="C21" t="s">
        <v>36</v>
      </c>
      <c r="D21" t="s">
        <v>18</v>
      </c>
      <c r="E21" t="s">
        <v>23</v>
      </c>
      <c r="F21" t="s">
        <v>37</v>
      </c>
      <c r="G21" s="3">
        <v>18.190000000000001</v>
      </c>
      <c r="H21" t="s">
        <v>25</v>
      </c>
      <c r="I21" t="s">
        <v>26</v>
      </c>
      <c r="J21" s="3">
        <v>5662.76</v>
      </c>
    </row>
    <row r="22" spans="1:10" x14ac:dyDescent="0.3">
      <c r="A22" t="s">
        <v>63</v>
      </c>
      <c r="B22" s="2">
        <v>45305</v>
      </c>
      <c r="C22" t="s">
        <v>11</v>
      </c>
      <c r="D22" t="s">
        <v>18</v>
      </c>
      <c r="E22" t="s">
        <v>39</v>
      </c>
      <c r="F22" t="s">
        <v>64</v>
      </c>
      <c r="G22" s="3">
        <v>29.12</v>
      </c>
      <c r="H22" t="s">
        <v>34</v>
      </c>
      <c r="I22" t="s">
        <v>26</v>
      </c>
      <c r="J22" s="3">
        <v>5633.64</v>
      </c>
    </row>
    <row r="23" spans="1:10" x14ac:dyDescent="0.3">
      <c r="A23" t="s">
        <v>65</v>
      </c>
      <c r="B23" s="2">
        <v>45306</v>
      </c>
      <c r="C23" t="s">
        <v>11</v>
      </c>
      <c r="D23" t="s">
        <v>12</v>
      </c>
      <c r="E23" t="s">
        <v>13</v>
      </c>
      <c r="F23" t="s">
        <v>14</v>
      </c>
      <c r="G23" s="3">
        <v>4854.8999999999996</v>
      </c>
      <c r="H23" t="s">
        <v>15</v>
      </c>
      <c r="I23" t="s">
        <v>16</v>
      </c>
      <c r="J23" s="3">
        <v>10488.54</v>
      </c>
    </row>
    <row r="24" spans="1:10" x14ac:dyDescent="0.3">
      <c r="A24" t="s">
        <v>66</v>
      </c>
      <c r="B24" s="2">
        <v>45306</v>
      </c>
      <c r="C24" t="s">
        <v>11</v>
      </c>
      <c r="D24" t="s">
        <v>18</v>
      </c>
      <c r="E24" t="s">
        <v>23</v>
      </c>
      <c r="F24" t="s">
        <v>32</v>
      </c>
      <c r="G24" s="3">
        <v>33.94</v>
      </c>
      <c r="H24" t="s">
        <v>30</v>
      </c>
      <c r="I24" t="s">
        <v>26</v>
      </c>
      <c r="J24" s="3">
        <v>10454.6</v>
      </c>
    </row>
    <row r="25" spans="1:10" x14ac:dyDescent="0.3">
      <c r="A25" t="s">
        <v>67</v>
      </c>
      <c r="B25" s="2">
        <v>45307</v>
      </c>
      <c r="C25" t="s">
        <v>11</v>
      </c>
      <c r="D25" t="s">
        <v>18</v>
      </c>
      <c r="E25" t="s">
        <v>28</v>
      </c>
      <c r="F25" t="s">
        <v>29</v>
      </c>
      <c r="G25" s="3">
        <v>179.51</v>
      </c>
      <c r="H25" t="s">
        <v>30</v>
      </c>
      <c r="I25" t="s">
        <v>26</v>
      </c>
      <c r="J25" s="3">
        <v>10275.09</v>
      </c>
    </row>
    <row r="26" spans="1:10" x14ac:dyDescent="0.3">
      <c r="A26" t="s">
        <v>68</v>
      </c>
      <c r="B26" s="2">
        <v>45307</v>
      </c>
      <c r="C26" t="s">
        <v>11</v>
      </c>
      <c r="D26" t="s">
        <v>18</v>
      </c>
      <c r="E26" t="s">
        <v>47</v>
      </c>
      <c r="F26" t="s">
        <v>69</v>
      </c>
      <c r="G26" s="3">
        <v>11.88</v>
      </c>
      <c r="H26" t="s">
        <v>34</v>
      </c>
      <c r="I26" t="s">
        <v>26</v>
      </c>
      <c r="J26" s="3">
        <v>10263.209999999999</v>
      </c>
    </row>
    <row r="27" spans="1:10" x14ac:dyDescent="0.3">
      <c r="A27" t="s">
        <v>70</v>
      </c>
      <c r="B27" s="2">
        <v>45308</v>
      </c>
      <c r="C27" t="s">
        <v>36</v>
      </c>
      <c r="D27" t="s">
        <v>18</v>
      </c>
      <c r="E27" t="s">
        <v>23</v>
      </c>
      <c r="F27" t="s">
        <v>37</v>
      </c>
      <c r="G27" s="3">
        <v>80.02</v>
      </c>
      <c r="H27" t="s">
        <v>25</v>
      </c>
      <c r="I27" t="s">
        <v>26</v>
      </c>
      <c r="J27" s="3">
        <v>10183.19</v>
      </c>
    </row>
    <row r="28" spans="1:10" x14ac:dyDescent="0.3">
      <c r="A28" t="s">
        <v>71</v>
      </c>
      <c r="B28" s="2">
        <v>45310</v>
      </c>
      <c r="C28" t="s">
        <v>11</v>
      </c>
      <c r="D28" t="s">
        <v>18</v>
      </c>
      <c r="E28" t="s">
        <v>47</v>
      </c>
      <c r="F28" t="s">
        <v>60</v>
      </c>
      <c r="G28" s="3">
        <v>51.15</v>
      </c>
      <c r="H28" t="s">
        <v>30</v>
      </c>
      <c r="I28" t="s">
        <v>26</v>
      </c>
      <c r="J28" s="3">
        <v>10132.040000000001</v>
      </c>
    </row>
    <row r="29" spans="1:10" x14ac:dyDescent="0.3">
      <c r="A29" t="s">
        <v>72</v>
      </c>
      <c r="B29" s="2">
        <v>45311</v>
      </c>
      <c r="C29" t="s">
        <v>11</v>
      </c>
      <c r="D29" t="s">
        <v>18</v>
      </c>
      <c r="E29" t="s">
        <v>47</v>
      </c>
      <c r="F29" t="s">
        <v>56</v>
      </c>
      <c r="G29" s="3">
        <v>34.47</v>
      </c>
      <c r="H29" t="s">
        <v>34</v>
      </c>
      <c r="I29" t="s">
        <v>26</v>
      </c>
      <c r="J29" s="3">
        <v>10097.57</v>
      </c>
    </row>
    <row r="30" spans="1:10" x14ac:dyDescent="0.3">
      <c r="A30" t="s">
        <v>73</v>
      </c>
      <c r="B30" s="2">
        <v>45312</v>
      </c>
      <c r="C30" t="s">
        <v>36</v>
      </c>
      <c r="D30" t="s">
        <v>18</v>
      </c>
      <c r="E30" t="s">
        <v>28</v>
      </c>
      <c r="F30" t="s">
        <v>74</v>
      </c>
      <c r="G30" s="3">
        <v>108.4</v>
      </c>
      <c r="H30" t="s">
        <v>30</v>
      </c>
      <c r="I30" t="s">
        <v>26</v>
      </c>
      <c r="J30" s="3">
        <v>9989.17</v>
      </c>
    </row>
    <row r="31" spans="1:10" x14ac:dyDescent="0.3">
      <c r="A31" t="s">
        <v>75</v>
      </c>
      <c r="B31" s="2">
        <v>45314</v>
      </c>
      <c r="C31" t="s">
        <v>36</v>
      </c>
      <c r="D31" t="s">
        <v>18</v>
      </c>
      <c r="E31" t="s">
        <v>23</v>
      </c>
      <c r="F31" t="s">
        <v>76</v>
      </c>
      <c r="G31" s="3">
        <v>68.97</v>
      </c>
      <c r="H31" t="s">
        <v>30</v>
      </c>
      <c r="I31" t="s">
        <v>26</v>
      </c>
      <c r="J31" s="3">
        <v>9920.2000000000007</v>
      </c>
    </row>
    <row r="32" spans="1:10" x14ac:dyDescent="0.3">
      <c r="A32" t="s">
        <v>77</v>
      </c>
      <c r="B32" s="2">
        <v>45314</v>
      </c>
      <c r="C32" t="s">
        <v>11</v>
      </c>
      <c r="D32" t="s">
        <v>18</v>
      </c>
      <c r="E32" t="s">
        <v>39</v>
      </c>
      <c r="F32" t="s">
        <v>64</v>
      </c>
      <c r="G32" s="3">
        <v>57.1</v>
      </c>
      <c r="H32" t="s">
        <v>34</v>
      </c>
      <c r="I32" t="s">
        <v>26</v>
      </c>
      <c r="J32" s="3">
        <v>9863.1</v>
      </c>
    </row>
    <row r="33" spans="1:10" x14ac:dyDescent="0.3">
      <c r="A33" t="s">
        <v>78</v>
      </c>
      <c r="B33" s="2">
        <v>45315</v>
      </c>
      <c r="C33" t="s">
        <v>11</v>
      </c>
      <c r="D33" t="s">
        <v>18</v>
      </c>
      <c r="E33" t="s">
        <v>28</v>
      </c>
      <c r="F33" t="s">
        <v>79</v>
      </c>
      <c r="G33" s="3">
        <v>33.840000000000003</v>
      </c>
      <c r="H33" t="s">
        <v>34</v>
      </c>
      <c r="I33" t="s">
        <v>26</v>
      </c>
      <c r="J33" s="3">
        <v>9829.26</v>
      </c>
    </row>
    <row r="34" spans="1:10" x14ac:dyDescent="0.3">
      <c r="A34" t="s">
        <v>80</v>
      </c>
      <c r="B34" s="2">
        <v>45316</v>
      </c>
      <c r="C34" t="s">
        <v>11</v>
      </c>
      <c r="D34" t="s">
        <v>18</v>
      </c>
      <c r="E34" t="s">
        <v>23</v>
      </c>
      <c r="F34" t="s">
        <v>76</v>
      </c>
      <c r="G34" s="3">
        <v>9.59</v>
      </c>
      <c r="H34" t="s">
        <v>34</v>
      </c>
      <c r="I34" t="s">
        <v>26</v>
      </c>
      <c r="J34" s="3">
        <v>9819.67</v>
      </c>
    </row>
    <row r="35" spans="1:10" x14ac:dyDescent="0.3">
      <c r="A35" t="s">
        <v>81</v>
      </c>
      <c r="B35" s="2">
        <v>45316</v>
      </c>
      <c r="C35" t="s">
        <v>36</v>
      </c>
      <c r="D35" t="s">
        <v>18</v>
      </c>
      <c r="E35" t="s">
        <v>47</v>
      </c>
      <c r="F35" t="s">
        <v>82</v>
      </c>
      <c r="G35" s="3">
        <v>22.64</v>
      </c>
      <c r="H35" t="s">
        <v>34</v>
      </c>
      <c r="I35" t="s">
        <v>26</v>
      </c>
      <c r="J35" s="3">
        <v>9797.0300000000007</v>
      </c>
    </row>
    <row r="36" spans="1:10" x14ac:dyDescent="0.3">
      <c r="A36" t="s">
        <v>83</v>
      </c>
      <c r="B36" s="2">
        <v>45317</v>
      </c>
      <c r="C36" t="s">
        <v>36</v>
      </c>
      <c r="D36" t="s">
        <v>18</v>
      </c>
      <c r="E36" t="s">
        <v>28</v>
      </c>
      <c r="F36" t="s">
        <v>58</v>
      </c>
      <c r="G36" s="3">
        <v>151</v>
      </c>
      <c r="H36" t="s">
        <v>30</v>
      </c>
      <c r="I36" t="s">
        <v>26</v>
      </c>
      <c r="J36" s="3">
        <v>9646.0300000000007</v>
      </c>
    </row>
    <row r="37" spans="1:10" x14ac:dyDescent="0.3">
      <c r="A37" t="s">
        <v>84</v>
      </c>
      <c r="B37" s="2">
        <v>45317</v>
      </c>
      <c r="C37" t="s">
        <v>11</v>
      </c>
      <c r="D37" t="s">
        <v>18</v>
      </c>
      <c r="E37" t="s">
        <v>23</v>
      </c>
      <c r="F37" t="s">
        <v>37</v>
      </c>
      <c r="G37" s="3">
        <v>66.37</v>
      </c>
      <c r="H37" t="s">
        <v>25</v>
      </c>
      <c r="I37" t="s">
        <v>26</v>
      </c>
      <c r="J37" s="3">
        <v>9579.66</v>
      </c>
    </row>
    <row r="38" spans="1:10" x14ac:dyDescent="0.3">
      <c r="A38" t="s">
        <v>85</v>
      </c>
      <c r="B38" s="2">
        <v>45318</v>
      </c>
      <c r="C38" t="s">
        <v>11</v>
      </c>
      <c r="D38" t="s">
        <v>18</v>
      </c>
      <c r="E38" t="s">
        <v>47</v>
      </c>
      <c r="F38" t="s">
        <v>82</v>
      </c>
      <c r="G38" s="3">
        <v>45.25</v>
      </c>
      <c r="H38" t="s">
        <v>30</v>
      </c>
      <c r="I38" t="s">
        <v>26</v>
      </c>
      <c r="J38" s="3">
        <v>9534.41</v>
      </c>
    </row>
    <row r="39" spans="1:10" x14ac:dyDescent="0.3">
      <c r="A39" t="s">
        <v>86</v>
      </c>
      <c r="B39" s="2">
        <v>45319</v>
      </c>
      <c r="C39" t="s">
        <v>36</v>
      </c>
      <c r="D39" t="s">
        <v>18</v>
      </c>
      <c r="E39" t="s">
        <v>23</v>
      </c>
      <c r="F39" t="s">
        <v>87</v>
      </c>
      <c r="G39" s="3">
        <v>85</v>
      </c>
      <c r="H39" t="s">
        <v>34</v>
      </c>
      <c r="I39" t="s">
        <v>26</v>
      </c>
      <c r="J39" s="3">
        <v>9449.41</v>
      </c>
    </row>
    <row r="40" spans="1:10" x14ac:dyDescent="0.3">
      <c r="A40" t="s">
        <v>88</v>
      </c>
      <c r="B40" s="2">
        <v>45319</v>
      </c>
      <c r="C40" t="s">
        <v>36</v>
      </c>
      <c r="D40" t="s">
        <v>18</v>
      </c>
      <c r="E40" t="s">
        <v>39</v>
      </c>
      <c r="F40" t="s">
        <v>89</v>
      </c>
      <c r="G40" s="3">
        <v>40.729999999999997</v>
      </c>
      <c r="H40" t="s">
        <v>30</v>
      </c>
      <c r="I40" t="s">
        <v>26</v>
      </c>
      <c r="J40" s="3">
        <v>9408.68</v>
      </c>
    </row>
    <row r="41" spans="1:10" x14ac:dyDescent="0.3">
      <c r="A41" t="s">
        <v>90</v>
      </c>
      <c r="B41" s="2">
        <v>45320</v>
      </c>
      <c r="C41" t="s">
        <v>36</v>
      </c>
      <c r="D41" t="s">
        <v>18</v>
      </c>
      <c r="E41" t="s">
        <v>47</v>
      </c>
      <c r="F41" t="s">
        <v>91</v>
      </c>
      <c r="G41" s="3">
        <v>39.04</v>
      </c>
      <c r="H41" t="s">
        <v>25</v>
      </c>
      <c r="I41" t="s">
        <v>26</v>
      </c>
      <c r="J41" s="3">
        <v>9369.64</v>
      </c>
    </row>
    <row r="42" spans="1:10" x14ac:dyDescent="0.3">
      <c r="A42" t="s">
        <v>92</v>
      </c>
      <c r="B42" s="2">
        <v>45321</v>
      </c>
      <c r="C42" t="s">
        <v>11</v>
      </c>
      <c r="D42" t="s">
        <v>18</v>
      </c>
      <c r="E42" t="s">
        <v>23</v>
      </c>
      <c r="F42" t="s">
        <v>37</v>
      </c>
      <c r="G42" s="3">
        <v>39.03</v>
      </c>
      <c r="H42" t="s">
        <v>30</v>
      </c>
      <c r="I42" t="s">
        <v>26</v>
      </c>
      <c r="J42" s="3">
        <v>9330.61</v>
      </c>
    </row>
    <row r="43" spans="1:10" x14ac:dyDescent="0.3">
      <c r="A43" t="s">
        <v>93</v>
      </c>
      <c r="B43" s="2">
        <v>45322</v>
      </c>
      <c r="C43" t="s">
        <v>11</v>
      </c>
      <c r="D43" t="s">
        <v>18</v>
      </c>
      <c r="E43" t="s">
        <v>47</v>
      </c>
      <c r="F43" t="s">
        <v>60</v>
      </c>
      <c r="G43" s="3">
        <v>31.67</v>
      </c>
      <c r="H43" t="s">
        <v>25</v>
      </c>
      <c r="I43" t="s">
        <v>26</v>
      </c>
      <c r="J43" s="3">
        <v>9298.94</v>
      </c>
    </row>
    <row r="44" spans="1:10" x14ac:dyDescent="0.3">
      <c r="A44" t="s">
        <v>94</v>
      </c>
      <c r="B44" s="2">
        <v>45323</v>
      </c>
      <c r="C44" t="s">
        <v>11</v>
      </c>
      <c r="D44" t="s">
        <v>12</v>
      </c>
      <c r="E44" t="s">
        <v>13</v>
      </c>
      <c r="F44" t="s">
        <v>14</v>
      </c>
      <c r="G44" s="3">
        <v>4340.54</v>
      </c>
      <c r="H44" t="s">
        <v>15</v>
      </c>
      <c r="I44" t="s">
        <v>16</v>
      </c>
      <c r="J44" s="3">
        <v>13639.48</v>
      </c>
    </row>
    <row r="45" spans="1:10" x14ac:dyDescent="0.3">
      <c r="A45" t="s">
        <v>95</v>
      </c>
      <c r="B45" s="2">
        <v>45323</v>
      </c>
      <c r="C45" t="s">
        <v>11</v>
      </c>
      <c r="D45" t="s">
        <v>18</v>
      </c>
      <c r="E45" t="s">
        <v>19</v>
      </c>
      <c r="F45" t="s">
        <v>96</v>
      </c>
      <c r="G45" s="3">
        <v>1394.28</v>
      </c>
      <c r="H45" t="s">
        <v>21</v>
      </c>
      <c r="I45" t="s">
        <v>16</v>
      </c>
      <c r="J45" s="3">
        <v>12245.2</v>
      </c>
    </row>
    <row r="46" spans="1:10" x14ac:dyDescent="0.3">
      <c r="A46" t="s">
        <v>97</v>
      </c>
      <c r="B46" s="2">
        <v>45325</v>
      </c>
      <c r="C46" t="s">
        <v>36</v>
      </c>
      <c r="D46" t="s">
        <v>18</v>
      </c>
      <c r="E46" t="s">
        <v>23</v>
      </c>
      <c r="F46" t="s">
        <v>98</v>
      </c>
      <c r="G46" s="3">
        <v>52.21</v>
      </c>
      <c r="H46" t="s">
        <v>25</v>
      </c>
      <c r="I46" t="s">
        <v>26</v>
      </c>
      <c r="J46" s="3">
        <v>12192.99</v>
      </c>
    </row>
    <row r="47" spans="1:10" x14ac:dyDescent="0.3">
      <c r="A47" t="s">
        <v>99</v>
      </c>
      <c r="B47" s="2">
        <v>45326</v>
      </c>
      <c r="C47" t="s">
        <v>11</v>
      </c>
      <c r="D47" t="s">
        <v>18</v>
      </c>
      <c r="E47" t="s">
        <v>23</v>
      </c>
      <c r="F47" t="s">
        <v>54</v>
      </c>
      <c r="G47" s="3">
        <v>79.680000000000007</v>
      </c>
      <c r="H47" t="s">
        <v>34</v>
      </c>
      <c r="I47" t="s">
        <v>26</v>
      </c>
      <c r="J47" s="3">
        <v>12113.31</v>
      </c>
    </row>
    <row r="48" spans="1:10" x14ac:dyDescent="0.3">
      <c r="A48" t="s">
        <v>100</v>
      </c>
      <c r="B48" s="2">
        <v>45326</v>
      </c>
      <c r="C48" t="s">
        <v>36</v>
      </c>
      <c r="D48" t="s">
        <v>18</v>
      </c>
      <c r="E48" t="s">
        <v>47</v>
      </c>
      <c r="F48" t="s">
        <v>69</v>
      </c>
      <c r="G48" s="3">
        <v>41.71</v>
      </c>
      <c r="H48" t="s">
        <v>30</v>
      </c>
      <c r="I48" t="s">
        <v>26</v>
      </c>
      <c r="J48" s="3">
        <v>12071.6</v>
      </c>
    </row>
    <row r="49" spans="1:10" x14ac:dyDescent="0.3">
      <c r="A49" t="s">
        <v>101</v>
      </c>
      <c r="B49" s="2">
        <v>45329</v>
      </c>
      <c r="C49" t="s">
        <v>36</v>
      </c>
      <c r="D49" t="s">
        <v>18</v>
      </c>
      <c r="E49" t="s">
        <v>23</v>
      </c>
      <c r="F49" t="s">
        <v>87</v>
      </c>
      <c r="G49" s="3">
        <v>20.91</v>
      </c>
      <c r="H49" t="s">
        <v>30</v>
      </c>
      <c r="I49" t="s">
        <v>26</v>
      </c>
      <c r="J49" s="3">
        <v>12050.69</v>
      </c>
    </row>
    <row r="50" spans="1:10" x14ac:dyDescent="0.3">
      <c r="A50" t="s">
        <v>102</v>
      </c>
      <c r="B50" s="2">
        <v>45330</v>
      </c>
      <c r="C50" t="s">
        <v>36</v>
      </c>
      <c r="D50" t="s">
        <v>18</v>
      </c>
      <c r="E50" t="s">
        <v>43</v>
      </c>
      <c r="F50" t="s">
        <v>103</v>
      </c>
      <c r="G50" s="3">
        <v>62.05</v>
      </c>
      <c r="H50" t="s">
        <v>21</v>
      </c>
      <c r="I50" t="s">
        <v>16</v>
      </c>
      <c r="J50" s="3">
        <v>11988.64</v>
      </c>
    </row>
    <row r="51" spans="1:10" x14ac:dyDescent="0.3">
      <c r="A51" t="s">
        <v>104</v>
      </c>
      <c r="B51" s="2">
        <v>45331</v>
      </c>
      <c r="C51" t="s">
        <v>11</v>
      </c>
      <c r="D51" t="s">
        <v>18</v>
      </c>
      <c r="E51" t="s">
        <v>43</v>
      </c>
      <c r="F51" t="s">
        <v>44</v>
      </c>
      <c r="G51" s="3">
        <v>163.56</v>
      </c>
      <c r="H51" t="s">
        <v>21</v>
      </c>
      <c r="I51" t="s">
        <v>16</v>
      </c>
      <c r="J51" s="3">
        <v>11825.08</v>
      </c>
    </row>
    <row r="52" spans="1:10" x14ac:dyDescent="0.3">
      <c r="A52" t="s">
        <v>105</v>
      </c>
      <c r="B52" s="2">
        <v>45331</v>
      </c>
      <c r="C52" t="s">
        <v>36</v>
      </c>
      <c r="D52" t="s">
        <v>18</v>
      </c>
      <c r="E52" t="s">
        <v>47</v>
      </c>
      <c r="F52" t="s">
        <v>106</v>
      </c>
      <c r="G52" s="3">
        <v>55.59</v>
      </c>
      <c r="H52" t="s">
        <v>25</v>
      </c>
      <c r="I52" t="s">
        <v>26</v>
      </c>
      <c r="J52" s="3">
        <v>11769.49</v>
      </c>
    </row>
    <row r="53" spans="1:10" x14ac:dyDescent="0.3">
      <c r="A53" t="s">
        <v>107</v>
      </c>
      <c r="B53" s="2">
        <v>45332</v>
      </c>
      <c r="C53" t="s">
        <v>11</v>
      </c>
      <c r="D53" t="s">
        <v>12</v>
      </c>
      <c r="E53" t="s">
        <v>108</v>
      </c>
      <c r="F53" t="s">
        <v>109</v>
      </c>
      <c r="G53" s="3">
        <v>927.15</v>
      </c>
      <c r="H53" t="s">
        <v>110</v>
      </c>
      <c r="I53" t="s">
        <v>26</v>
      </c>
      <c r="J53" s="3">
        <v>12696.64</v>
      </c>
    </row>
    <row r="54" spans="1:10" x14ac:dyDescent="0.3">
      <c r="A54" t="s">
        <v>111</v>
      </c>
      <c r="B54" s="2">
        <v>45332</v>
      </c>
      <c r="C54" t="s">
        <v>36</v>
      </c>
      <c r="D54" t="s">
        <v>18</v>
      </c>
      <c r="E54" t="s">
        <v>43</v>
      </c>
      <c r="F54" t="s">
        <v>44</v>
      </c>
      <c r="G54" s="3">
        <v>158.62</v>
      </c>
      <c r="H54" t="s">
        <v>21</v>
      </c>
      <c r="I54" t="s">
        <v>16</v>
      </c>
      <c r="J54" s="3">
        <v>12538.02</v>
      </c>
    </row>
    <row r="55" spans="1:10" x14ac:dyDescent="0.3">
      <c r="A55" t="s">
        <v>112</v>
      </c>
      <c r="B55" s="2">
        <v>45333</v>
      </c>
      <c r="C55" t="s">
        <v>11</v>
      </c>
      <c r="D55" t="s">
        <v>18</v>
      </c>
      <c r="E55" t="s">
        <v>28</v>
      </c>
      <c r="F55" t="s">
        <v>29</v>
      </c>
      <c r="G55" s="3">
        <v>178.33</v>
      </c>
      <c r="H55" t="s">
        <v>34</v>
      </c>
      <c r="I55" t="s">
        <v>26</v>
      </c>
      <c r="J55" s="3">
        <v>12359.69</v>
      </c>
    </row>
    <row r="56" spans="1:10" x14ac:dyDescent="0.3">
      <c r="A56" t="s">
        <v>113</v>
      </c>
      <c r="B56" s="2">
        <v>45334</v>
      </c>
      <c r="C56" t="s">
        <v>11</v>
      </c>
      <c r="D56" t="s">
        <v>18</v>
      </c>
      <c r="E56" t="s">
        <v>28</v>
      </c>
      <c r="F56" t="s">
        <v>114</v>
      </c>
      <c r="G56" s="3">
        <v>93.21</v>
      </c>
      <c r="H56" t="s">
        <v>30</v>
      </c>
      <c r="I56" t="s">
        <v>26</v>
      </c>
      <c r="J56" s="3">
        <v>12266.48</v>
      </c>
    </row>
    <row r="57" spans="1:10" x14ac:dyDescent="0.3">
      <c r="A57" t="s">
        <v>115</v>
      </c>
      <c r="B57" s="2">
        <v>45334</v>
      </c>
      <c r="C57" t="s">
        <v>11</v>
      </c>
      <c r="D57" t="s">
        <v>18</v>
      </c>
      <c r="E57" t="s">
        <v>47</v>
      </c>
      <c r="F57" t="s">
        <v>60</v>
      </c>
      <c r="G57" s="3">
        <v>28.82</v>
      </c>
      <c r="H57" t="s">
        <v>25</v>
      </c>
      <c r="I57" t="s">
        <v>26</v>
      </c>
      <c r="J57" s="3">
        <v>12237.66</v>
      </c>
    </row>
    <row r="58" spans="1:10" x14ac:dyDescent="0.3">
      <c r="A58" t="s">
        <v>116</v>
      </c>
      <c r="B58" s="2">
        <v>45336</v>
      </c>
      <c r="C58" t="s">
        <v>11</v>
      </c>
      <c r="D58" t="s">
        <v>18</v>
      </c>
      <c r="E58" t="s">
        <v>28</v>
      </c>
      <c r="F58" t="s">
        <v>117</v>
      </c>
      <c r="G58" s="3">
        <v>48.96</v>
      </c>
      <c r="H58" t="s">
        <v>30</v>
      </c>
      <c r="I58" t="s">
        <v>26</v>
      </c>
      <c r="J58" s="3">
        <v>12188.7</v>
      </c>
    </row>
    <row r="59" spans="1:10" x14ac:dyDescent="0.3">
      <c r="A59" t="s">
        <v>118</v>
      </c>
      <c r="B59" s="2">
        <v>45336</v>
      </c>
      <c r="C59" t="s">
        <v>11</v>
      </c>
      <c r="D59" t="s">
        <v>18</v>
      </c>
      <c r="E59" t="s">
        <v>23</v>
      </c>
      <c r="F59" t="s">
        <v>87</v>
      </c>
      <c r="G59" s="3">
        <v>11.16</v>
      </c>
      <c r="H59" t="s">
        <v>30</v>
      </c>
      <c r="I59" t="s">
        <v>26</v>
      </c>
      <c r="J59" s="3">
        <v>12177.54</v>
      </c>
    </row>
    <row r="60" spans="1:10" x14ac:dyDescent="0.3">
      <c r="A60" t="s">
        <v>119</v>
      </c>
      <c r="B60" s="2">
        <v>45337</v>
      </c>
      <c r="C60" t="s">
        <v>11</v>
      </c>
      <c r="D60" t="s">
        <v>12</v>
      </c>
      <c r="E60" t="s">
        <v>13</v>
      </c>
      <c r="F60" t="s">
        <v>14</v>
      </c>
      <c r="G60" s="3">
        <v>4671.47</v>
      </c>
      <c r="H60" t="s">
        <v>15</v>
      </c>
      <c r="I60" t="s">
        <v>16</v>
      </c>
      <c r="J60" s="3">
        <v>16849.009999999998</v>
      </c>
    </row>
    <row r="61" spans="1:10" x14ac:dyDescent="0.3">
      <c r="A61" t="s">
        <v>120</v>
      </c>
      <c r="B61" s="2">
        <v>45337</v>
      </c>
      <c r="C61" t="s">
        <v>36</v>
      </c>
      <c r="D61" t="s">
        <v>18</v>
      </c>
      <c r="E61" t="s">
        <v>28</v>
      </c>
      <c r="F61" t="s">
        <v>52</v>
      </c>
      <c r="G61" s="3">
        <v>143.03</v>
      </c>
      <c r="H61" t="s">
        <v>34</v>
      </c>
      <c r="I61" t="s">
        <v>26</v>
      </c>
      <c r="J61" s="3">
        <v>16705.98</v>
      </c>
    </row>
    <row r="62" spans="1:10" x14ac:dyDescent="0.3">
      <c r="A62" t="s">
        <v>121</v>
      </c>
      <c r="B62" s="2">
        <v>45338</v>
      </c>
      <c r="C62" t="s">
        <v>11</v>
      </c>
      <c r="D62" t="s">
        <v>18</v>
      </c>
      <c r="E62" t="s">
        <v>28</v>
      </c>
      <c r="F62" t="s">
        <v>117</v>
      </c>
      <c r="G62" s="3">
        <v>163.32</v>
      </c>
      <c r="H62" t="s">
        <v>30</v>
      </c>
      <c r="I62" t="s">
        <v>26</v>
      </c>
      <c r="J62" s="3">
        <v>16542.66</v>
      </c>
    </row>
    <row r="63" spans="1:10" x14ac:dyDescent="0.3">
      <c r="A63" t="s">
        <v>122</v>
      </c>
      <c r="B63" s="2">
        <v>45339</v>
      </c>
      <c r="C63" t="s">
        <v>36</v>
      </c>
      <c r="D63" t="s">
        <v>18</v>
      </c>
      <c r="E63" t="s">
        <v>28</v>
      </c>
      <c r="F63" t="s">
        <v>74</v>
      </c>
      <c r="G63" s="3">
        <v>42.27</v>
      </c>
      <c r="H63" t="s">
        <v>34</v>
      </c>
      <c r="I63" t="s">
        <v>26</v>
      </c>
      <c r="J63" s="3">
        <v>16500.39</v>
      </c>
    </row>
    <row r="64" spans="1:10" x14ac:dyDescent="0.3">
      <c r="A64" t="s">
        <v>123</v>
      </c>
      <c r="B64" s="2">
        <v>45339</v>
      </c>
      <c r="C64" t="s">
        <v>36</v>
      </c>
      <c r="D64" t="s">
        <v>18</v>
      </c>
      <c r="E64" t="s">
        <v>23</v>
      </c>
      <c r="F64" t="s">
        <v>124</v>
      </c>
      <c r="G64" s="3">
        <v>75.11</v>
      </c>
      <c r="H64" t="s">
        <v>25</v>
      </c>
      <c r="I64" t="s">
        <v>26</v>
      </c>
      <c r="J64" s="3">
        <v>16425.28</v>
      </c>
    </row>
    <row r="65" spans="1:10" x14ac:dyDescent="0.3">
      <c r="A65" t="s">
        <v>125</v>
      </c>
      <c r="B65" s="2">
        <v>45340</v>
      </c>
      <c r="C65" t="s">
        <v>126</v>
      </c>
      <c r="D65" t="s">
        <v>12</v>
      </c>
      <c r="E65" t="s">
        <v>108</v>
      </c>
      <c r="F65" t="s">
        <v>127</v>
      </c>
      <c r="G65" s="3">
        <v>1257.07</v>
      </c>
      <c r="H65" t="s">
        <v>110</v>
      </c>
      <c r="I65" t="s">
        <v>26</v>
      </c>
      <c r="J65" s="3">
        <v>17682.349999999999</v>
      </c>
    </row>
    <row r="66" spans="1:10" x14ac:dyDescent="0.3">
      <c r="A66" t="s">
        <v>128</v>
      </c>
      <c r="B66" s="2">
        <v>45340</v>
      </c>
      <c r="C66" t="s">
        <v>36</v>
      </c>
      <c r="D66" t="s">
        <v>18</v>
      </c>
      <c r="E66" t="s">
        <v>28</v>
      </c>
      <c r="F66" t="s">
        <v>58</v>
      </c>
      <c r="G66" s="3">
        <v>164.44</v>
      </c>
      <c r="H66" t="s">
        <v>30</v>
      </c>
      <c r="I66" t="s">
        <v>26</v>
      </c>
      <c r="J66" s="3">
        <v>17517.91</v>
      </c>
    </row>
    <row r="67" spans="1:10" x14ac:dyDescent="0.3">
      <c r="A67" t="s">
        <v>129</v>
      </c>
      <c r="B67" s="2">
        <v>45341</v>
      </c>
      <c r="C67" t="s">
        <v>36</v>
      </c>
      <c r="D67" t="s">
        <v>18</v>
      </c>
      <c r="E67" t="s">
        <v>28</v>
      </c>
      <c r="F67" t="s">
        <v>117</v>
      </c>
      <c r="G67" s="3">
        <v>172.77</v>
      </c>
      <c r="H67" t="s">
        <v>34</v>
      </c>
      <c r="I67" t="s">
        <v>26</v>
      </c>
      <c r="J67" s="3">
        <v>17345.14</v>
      </c>
    </row>
    <row r="68" spans="1:10" x14ac:dyDescent="0.3">
      <c r="A68" t="s">
        <v>130</v>
      </c>
      <c r="B68" s="2">
        <v>45341</v>
      </c>
      <c r="C68" t="s">
        <v>11</v>
      </c>
      <c r="D68" t="s">
        <v>18</v>
      </c>
      <c r="E68" t="s">
        <v>47</v>
      </c>
      <c r="F68" t="s">
        <v>106</v>
      </c>
      <c r="G68" s="3">
        <v>9.76</v>
      </c>
      <c r="H68" t="s">
        <v>34</v>
      </c>
      <c r="I68" t="s">
        <v>26</v>
      </c>
      <c r="J68" s="3">
        <v>17335.38</v>
      </c>
    </row>
    <row r="69" spans="1:10" x14ac:dyDescent="0.3">
      <c r="A69" t="s">
        <v>131</v>
      </c>
      <c r="B69" s="2">
        <v>45343</v>
      </c>
      <c r="C69" t="s">
        <v>11</v>
      </c>
      <c r="D69" t="s">
        <v>18</v>
      </c>
      <c r="E69" t="s">
        <v>28</v>
      </c>
      <c r="F69" t="s">
        <v>79</v>
      </c>
      <c r="G69" s="3">
        <v>47.56</v>
      </c>
      <c r="H69" t="s">
        <v>34</v>
      </c>
      <c r="I69" t="s">
        <v>26</v>
      </c>
      <c r="J69" s="3">
        <v>17287.82</v>
      </c>
    </row>
    <row r="70" spans="1:10" x14ac:dyDescent="0.3">
      <c r="A70" t="s">
        <v>132</v>
      </c>
      <c r="B70" s="2">
        <v>45343</v>
      </c>
      <c r="C70" t="s">
        <v>36</v>
      </c>
      <c r="D70" t="s">
        <v>18</v>
      </c>
      <c r="E70" t="s">
        <v>23</v>
      </c>
      <c r="F70" t="s">
        <v>24</v>
      </c>
      <c r="G70" s="3">
        <v>71.489999999999995</v>
      </c>
      <c r="H70" t="s">
        <v>34</v>
      </c>
      <c r="I70" t="s">
        <v>26</v>
      </c>
      <c r="J70" s="3">
        <v>17216.330000000002</v>
      </c>
    </row>
    <row r="71" spans="1:10" x14ac:dyDescent="0.3">
      <c r="A71" t="s">
        <v>133</v>
      </c>
      <c r="B71" s="2">
        <v>45344</v>
      </c>
      <c r="C71" t="s">
        <v>11</v>
      </c>
      <c r="D71" t="s">
        <v>18</v>
      </c>
      <c r="E71" t="s">
        <v>28</v>
      </c>
      <c r="F71" t="s">
        <v>74</v>
      </c>
      <c r="G71" s="3">
        <v>142.13</v>
      </c>
      <c r="H71" t="s">
        <v>34</v>
      </c>
      <c r="I71" t="s">
        <v>26</v>
      </c>
      <c r="J71" s="3">
        <v>17074.2</v>
      </c>
    </row>
    <row r="72" spans="1:10" x14ac:dyDescent="0.3">
      <c r="A72" t="s">
        <v>134</v>
      </c>
      <c r="B72" s="2">
        <v>45344</v>
      </c>
      <c r="C72" t="s">
        <v>11</v>
      </c>
      <c r="D72" t="s">
        <v>18</v>
      </c>
      <c r="E72" t="s">
        <v>23</v>
      </c>
      <c r="F72" t="s">
        <v>135</v>
      </c>
      <c r="G72" s="3">
        <v>23.46</v>
      </c>
      <c r="H72" t="s">
        <v>34</v>
      </c>
      <c r="I72" t="s">
        <v>26</v>
      </c>
      <c r="J72" s="3">
        <v>17050.740000000002</v>
      </c>
    </row>
    <row r="73" spans="1:10" x14ac:dyDescent="0.3">
      <c r="A73" t="s">
        <v>136</v>
      </c>
      <c r="B73" s="2">
        <v>45344</v>
      </c>
      <c r="C73" t="s">
        <v>11</v>
      </c>
      <c r="D73" t="s">
        <v>18</v>
      </c>
      <c r="E73" t="s">
        <v>39</v>
      </c>
      <c r="F73" t="s">
        <v>40</v>
      </c>
      <c r="G73" s="3">
        <v>32.94</v>
      </c>
      <c r="H73" t="s">
        <v>34</v>
      </c>
      <c r="I73" t="s">
        <v>26</v>
      </c>
      <c r="J73" s="3">
        <v>17017.8</v>
      </c>
    </row>
    <row r="74" spans="1:10" x14ac:dyDescent="0.3">
      <c r="A74" t="s">
        <v>137</v>
      </c>
      <c r="B74" s="2">
        <v>45345</v>
      </c>
      <c r="C74" t="s">
        <v>11</v>
      </c>
      <c r="D74" t="s">
        <v>18</v>
      </c>
      <c r="E74" t="s">
        <v>23</v>
      </c>
      <c r="F74" t="s">
        <v>124</v>
      </c>
      <c r="G74" s="3">
        <v>69.7</v>
      </c>
      <c r="H74" t="s">
        <v>25</v>
      </c>
      <c r="I74" t="s">
        <v>26</v>
      </c>
      <c r="J74" s="3">
        <v>16948.099999999999</v>
      </c>
    </row>
    <row r="75" spans="1:10" x14ac:dyDescent="0.3">
      <c r="A75" t="s">
        <v>138</v>
      </c>
      <c r="B75" s="2">
        <v>45346</v>
      </c>
      <c r="C75" t="s">
        <v>36</v>
      </c>
      <c r="D75" t="s">
        <v>18</v>
      </c>
      <c r="E75" t="s">
        <v>28</v>
      </c>
      <c r="F75" t="s">
        <v>117</v>
      </c>
      <c r="G75" s="3">
        <v>107.26</v>
      </c>
      <c r="H75" t="s">
        <v>30</v>
      </c>
      <c r="I75" t="s">
        <v>26</v>
      </c>
      <c r="J75" s="3">
        <v>16840.84</v>
      </c>
    </row>
    <row r="76" spans="1:10" x14ac:dyDescent="0.3">
      <c r="A76" t="s">
        <v>139</v>
      </c>
      <c r="B76" s="2">
        <v>45346</v>
      </c>
      <c r="C76" t="s">
        <v>36</v>
      </c>
      <c r="D76" t="s">
        <v>18</v>
      </c>
      <c r="E76" t="s">
        <v>23</v>
      </c>
      <c r="F76" t="s">
        <v>124</v>
      </c>
      <c r="G76" s="3">
        <v>53.55</v>
      </c>
      <c r="H76" t="s">
        <v>34</v>
      </c>
      <c r="I76" t="s">
        <v>26</v>
      </c>
      <c r="J76" s="3">
        <v>16787.29</v>
      </c>
    </row>
    <row r="77" spans="1:10" x14ac:dyDescent="0.3">
      <c r="A77" t="s">
        <v>140</v>
      </c>
      <c r="B77" s="2">
        <v>45347</v>
      </c>
      <c r="C77" t="s">
        <v>11</v>
      </c>
      <c r="D77" t="s">
        <v>18</v>
      </c>
      <c r="E77" t="s">
        <v>28</v>
      </c>
      <c r="F77" t="s">
        <v>58</v>
      </c>
      <c r="G77" s="3">
        <v>111.13</v>
      </c>
      <c r="H77" t="s">
        <v>30</v>
      </c>
      <c r="I77" t="s">
        <v>26</v>
      </c>
      <c r="J77" s="3">
        <v>16676.16</v>
      </c>
    </row>
    <row r="78" spans="1:10" x14ac:dyDescent="0.3">
      <c r="A78" t="s">
        <v>141</v>
      </c>
      <c r="B78" s="2">
        <v>45349</v>
      </c>
      <c r="C78" t="s">
        <v>11</v>
      </c>
      <c r="D78" t="s">
        <v>18</v>
      </c>
      <c r="E78" t="s">
        <v>23</v>
      </c>
      <c r="F78" t="s">
        <v>32</v>
      </c>
      <c r="G78" s="3">
        <v>70.27</v>
      </c>
      <c r="H78" t="s">
        <v>34</v>
      </c>
      <c r="I78" t="s">
        <v>26</v>
      </c>
      <c r="J78" s="3">
        <v>16605.89</v>
      </c>
    </row>
    <row r="79" spans="1:10" x14ac:dyDescent="0.3">
      <c r="A79" t="s">
        <v>142</v>
      </c>
      <c r="B79" s="2">
        <v>45349</v>
      </c>
      <c r="C79" t="s">
        <v>36</v>
      </c>
      <c r="D79" t="s">
        <v>18</v>
      </c>
      <c r="E79" t="s">
        <v>47</v>
      </c>
      <c r="F79" t="s">
        <v>69</v>
      </c>
      <c r="G79" s="3">
        <v>36.67</v>
      </c>
      <c r="H79" t="s">
        <v>34</v>
      </c>
      <c r="I79" t="s">
        <v>26</v>
      </c>
      <c r="J79" s="3">
        <v>16569.22</v>
      </c>
    </row>
    <row r="80" spans="1:10" x14ac:dyDescent="0.3">
      <c r="A80" t="s">
        <v>143</v>
      </c>
      <c r="B80" s="2">
        <v>45352</v>
      </c>
      <c r="C80" t="s">
        <v>11</v>
      </c>
      <c r="D80" t="s">
        <v>12</v>
      </c>
      <c r="E80" t="s">
        <v>13</v>
      </c>
      <c r="F80" t="s">
        <v>14</v>
      </c>
      <c r="G80" s="3">
        <v>4433.3599999999997</v>
      </c>
      <c r="H80" t="s">
        <v>15</v>
      </c>
      <c r="I80" t="s">
        <v>16</v>
      </c>
      <c r="J80" s="3">
        <v>21002.58</v>
      </c>
    </row>
    <row r="81" spans="1:10" x14ac:dyDescent="0.3">
      <c r="A81" t="s">
        <v>144</v>
      </c>
      <c r="B81" s="2">
        <v>45352</v>
      </c>
      <c r="C81" t="s">
        <v>11</v>
      </c>
      <c r="D81" t="s">
        <v>18</v>
      </c>
      <c r="E81" t="s">
        <v>19</v>
      </c>
      <c r="F81" t="s">
        <v>20</v>
      </c>
      <c r="G81" s="3">
        <v>1639.19</v>
      </c>
      <c r="H81" t="s">
        <v>21</v>
      </c>
      <c r="I81" t="s">
        <v>16</v>
      </c>
      <c r="J81" s="3">
        <v>19363.39</v>
      </c>
    </row>
    <row r="82" spans="1:10" x14ac:dyDescent="0.3">
      <c r="A82" t="s">
        <v>145</v>
      </c>
      <c r="B82" s="2">
        <v>45352</v>
      </c>
      <c r="C82" t="s">
        <v>11</v>
      </c>
      <c r="D82" t="s">
        <v>18</v>
      </c>
      <c r="E82" t="s">
        <v>47</v>
      </c>
      <c r="F82" t="s">
        <v>69</v>
      </c>
      <c r="G82" s="3">
        <v>10.1</v>
      </c>
      <c r="H82" t="s">
        <v>30</v>
      </c>
      <c r="I82" t="s">
        <v>26</v>
      </c>
      <c r="J82" s="3">
        <v>19353.29</v>
      </c>
    </row>
    <row r="83" spans="1:10" x14ac:dyDescent="0.3">
      <c r="A83" t="s">
        <v>146</v>
      </c>
      <c r="B83" s="2">
        <v>45352</v>
      </c>
      <c r="C83" t="s">
        <v>36</v>
      </c>
      <c r="D83" t="s">
        <v>18</v>
      </c>
      <c r="E83" t="s">
        <v>39</v>
      </c>
      <c r="F83" t="s">
        <v>64</v>
      </c>
      <c r="G83" s="3">
        <v>56.64</v>
      </c>
      <c r="H83" t="s">
        <v>30</v>
      </c>
      <c r="I83" t="s">
        <v>26</v>
      </c>
      <c r="J83" s="3">
        <v>19296.650000000001</v>
      </c>
    </row>
    <row r="84" spans="1:10" x14ac:dyDescent="0.3">
      <c r="A84" t="s">
        <v>147</v>
      </c>
      <c r="B84" s="2">
        <v>45353</v>
      </c>
      <c r="C84" t="s">
        <v>11</v>
      </c>
      <c r="D84" t="s">
        <v>18</v>
      </c>
      <c r="E84" t="s">
        <v>47</v>
      </c>
      <c r="F84" t="s">
        <v>106</v>
      </c>
      <c r="G84" s="3">
        <v>35.4</v>
      </c>
      <c r="H84" t="s">
        <v>25</v>
      </c>
      <c r="I84" t="s">
        <v>26</v>
      </c>
      <c r="J84" s="3">
        <v>19261.25</v>
      </c>
    </row>
    <row r="85" spans="1:10" x14ac:dyDescent="0.3">
      <c r="A85" t="s">
        <v>148</v>
      </c>
      <c r="B85" s="2">
        <v>45354</v>
      </c>
      <c r="C85" t="s">
        <v>36</v>
      </c>
      <c r="D85" t="s">
        <v>18</v>
      </c>
      <c r="E85" t="s">
        <v>47</v>
      </c>
      <c r="F85" t="s">
        <v>60</v>
      </c>
      <c r="G85" s="3">
        <v>56.46</v>
      </c>
      <c r="H85" t="s">
        <v>25</v>
      </c>
      <c r="I85" t="s">
        <v>26</v>
      </c>
      <c r="J85" s="3">
        <v>19204.79</v>
      </c>
    </row>
    <row r="86" spans="1:10" x14ac:dyDescent="0.3">
      <c r="A86" t="s">
        <v>149</v>
      </c>
      <c r="B86" s="2">
        <v>45355</v>
      </c>
      <c r="C86" t="s">
        <v>11</v>
      </c>
      <c r="D86" t="s">
        <v>18</v>
      </c>
      <c r="E86" t="s">
        <v>23</v>
      </c>
      <c r="F86" t="s">
        <v>124</v>
      </c>
      <c r="G86" s="3">
        <v>24.18</v>
      </c>
      <c r="H86" t="s">
        <v>34</v>
      </c>
      <c r="I86" t="s">
        <v>26</v>
      </c>
      <c r="J86" s="3">
        <v>19180.61</v>
      </c>
    </row>
    <row r="87" spans="1:10" x14ac:dyDescent="0.3">
      <c r="A87" t="s">
        <v>150</v>
      </c>
      <c r="B87" s="2">
        <v>45356</v>
      </c>
      <c r="C87" t="s">
        <v>11</v>
      </c>
      <c r="D87" t="s">
        <v>18</v>
      </c>
      <c r="E87" t="s">
        <v>43</v>
      </c>
      <c r="F87" t="s">
        <v>151</v>
      </c>
      <c r="G87" s="3">
        <v>123.64</v>
      </c>
      <c r="H87" t="s">
        <v>21</v>
      </c>
      <c r="I87" t="s">
        <v>16</v>
      </c>
      <c r="J87" s="3">
        <v>19056.97</v>
      </c>
    </row>
    <row r="88" spans="1:10" x14ac:dyDescent="0.3">
      <c r="A88" t="s">
        <v>152</v>
      </c>
      <c r="B88" s="2">
        <v>45357</v>
      </c>
      <c r="C88" t="s">
        <v>11</v>
      </c>
      <c r="D88" t="s">
        <v>18</v>
      </c>
      <c r="E88" t="s">
        <v>43</v>
      </c>
      <c r="F88" t="s">
        <v>103</v>
      </c>
      <c r="G88" s="3">
        <v>189.34</v>
      </c>
      <c r="H88" t="s">
        <v>21</v>
      </c>
      <c r="I88" t="s">
        <v>16</v>
      </c>
      <c r="J88" s="3">
        <v>18867.63</v>
      </c>
    </row>
    <row r="89" spans="1:10" x14ac:dyDescent="0.3">
      <c r="A89" t="s">
        <v>153</v>
      </c>
      <c r="B89" s="2">
        <v>45357</v>
      </c>
      <c r="C89" t="s">
        <v>11</v>
      </c>
      <c r="D89" t="s">
        <v>18</v>
      </c>
      <c r="E89" t="s">
        <v>28</v>
      </c>
      <c r="F89" t="s">
        <v>58</v>
      </c>
      <c r="G89" s="3">
        <v>63.79</v>
      </c>
      <c r="H89" t="s">
        <v>30</v>
      </c>
      <c r="I89" t="s">
        <v>26</v>
      </c>
      <c r="J89" s="3">
        <v>18803.84</v>
      </c>
    </row>
    <row r="90" spans="1:10" x14ac:dyDescent="0.3">
      <c r="A90" t="s">
        <v>154</v>
      </c>
      <c r="B90" s="2">
        <v>45357</v>
      </c>
      <c r="C90" t="s">
        <v>11</v>
      </c>
      <c r="D90" t="s">
        <v>18</v>
      </c>
      <c r="E90" t="s">
        <v>23</v>
      </c>
      <c r="F90" t="s">
        <v>24</v>
      </c>
      <c r="G90" s="3">
        <v>13.02</v>
      </c>
      <c r="H90" t="s">
        <v>30</v>
      </c>
      <c r="I90" t="s">
        <v>26</v>
      </c>
      <c r="J90" s="3">
        <v>18790.82</v>
      </c>
    </row>
    <row r="91" spans="1:10" x14ac:dyDescent="0.3">
      <c r="A91" t="s">
        <v>155</v>
      </c>
      <c r="B91" s="2">
        <v>45358</v>
      </c>
      <c r="C91" t="s">
        <v>36</v>
      </c>
      <c r="D91" t="s">
        <v>18</v>
      </c>
      <c r="E91" t="s">
        <v>39</v>
      </c>
      <c r="F91" t="s">
        <v>156</v>
      </c>
      <c r="G91" s="3">
        <v>31.95</v>
      </c>
      <c r="H91" t="s">
        <v>30</v>
      </c>
      <c r="I91" t="s">
        <v>26</v>
      </c>
      <c r="J91" s="3">
        <v>18758.87</v>
      </c>
    </row>
    <row r="92" spans="1:10" x14ac:dyDescent="0.3">
      <c r="A92" t="s">
        <v>157</v>
      </c>
      <c r="B92" s="2">
        <v>45359</v>
      </c>
      <c r="C92" t="s">
        <v>36</v>
      </c>
      <c r="D92" t="s">
        <v>18</v>
      </c>
      <c r="E92" t="s">
        <v>43</v>
      </c>
      <c r="F92" t="s">
        <v>44</v>
      </c>
      <c r="G92" s="3">
        <v>171.91</v>
      </c>
      <c r="H92" t="s">
        <v>21</v>
      </c>
      <c r="I92" t="s">
        <v>16</v>
      </c>
      <c r="J92" s="3">
        <v>18586.96</v>
      </c>
    </row>
    <row r="93" spans="1:10" x14ac:dyDescent="0.3">
      <c r="A93" t="s">
        <v>158</v>
      </c>
      <c r="B93" s="2">
        <v>45359</v>
      </c>
      <c r="C93" t="s">
        <v>11</v>
      </c>
      <c r="D93" t="s">
        <v>18</v>
      </c>
      <c r="E93" t="s">
        <v>28</v>
      </c>
      <c r="F93" t="s">
        <v>117</v>
      </c>
      <c r="G93" s="3">
        <v>73.150000000000006</v>
      </c>
      <c r="H93" t="s">
        <v>30</v>
      </c>
      <c r="I93" t="s">
        <v>26</v>
      </c>
      <c r="J93" s="3">
        <v>18513.810000000001</v>
      </c>
    </row>
    <row r="94" spans="1:10" x14ac:dyDescent="0.3">
      <c r="A94" t="s">
        <v>159</v>
      </c>
      <c r="B94" s="2">
        <v>45359</v>
      </c>
      <c r="C94" t="s">
        <v>11</v>
      </c>
      <c r="D94" t="s">
        <v>18</v>
      </c>
      <c r="E94" t="s">
        <v>23</v>
      </c>
      <c r="F94" t="s">
        <v>98</v>
      </c>
      <c r="G94" s="3">
        <v>69.75</v>
      </c>
      <c r="H94" t="s">
        <v>34</v>
      </c>
      <c r="I94" t="s">
        <v>26</v>
      </c>
      <c r="J94" s="3">
        <v>18444.060000000001</v>
      </c>
    </row>
    <row r="95" spans="1:10" x14ac:dyDescent="0.3">
      <c r="A95" t="s">
        <v>160</v>
      </c>
      <c r="B95" s="2">
        <v>45359</v>
      </c>
      <c r="C95" t="s">
        <v>11</v>
      </c>
      <c r="D95" t="s">
        <v>18</v>
      </c>
      <c r="E95" t="s">
        <v>47</v>
      </c>
      <c r="F95" t="s">
        <v>106</v>
      </c>
      <c r="G95" s="3">
        <v>55.29</v>
      </c>
      <c r="H95" t="s">
        <v>34</v>
      </c>
      <c r="I95" t="s">
        <v>26</v>
      </c>
      <c r="J95" s="3">
        <v>18388.77</v>
      </c>
    </row>
    <row r="96" spans="1:10" x14ac:dyDescent="0.3">
      <c r="A96" t="s">
        <v>161</v>
      </c>
      <c r="B96" s="2">
        <v>45360</v>
      </c>
      <c r="C96" t="s">
        <v>11</v>
      </c>
      <c r="D96" t="s">
        <v>18</v>
      </c>
      <c r="E96" t="s">
        <v>23</v>
      </c>
      <c r="F96" t="s">
        <v>87</v>
      </c>
      <c r="G96" s="3">
        <v>51.22</v>
      </c>
      <c r="H96" t="s">
        <v>34</v>
      </c>
      <c r="I96" t="s">
        <v>26</v>
      </c>
      <c r="J96" s="3">
        <v>18337.55</v>
      </c>
    </row>
    <row r="97" spans="1:10" x14ac:dyDescent="0.3">
      <c r="A97" t="s">
        <v>162</v>
      </c>
      <c r="B97" s="2">
        <v>45361</v>
      </c>
      <c r="C97" t="s">
        <v>11</v>
      </c>
      <c r="D97" t="s">
        <v>18</v>
      </c>
      <c r="E97" t="s">
        <v>43</v>
      </c>
      <c r="F97" t="s">
        <v>44</v>
      </c>
      <c r="G97" s="3">
        <v>166.34</v>
      </c>
      <c r="H97" t="s">
        <v>21</v>
      </c>
      <c r="I97" t="s">
        <v>16</v>
      </c>
      <c r="J97" s="3">
        <v>18171.21</v>
      </c>
    </row>
    <row r="98" spans="1:10" x14ac:dyDescent="0.3">
      <c r="A98" t="s">
        <v>163</v>
      </c>
      <c r="B98" s="2">
        <v>45361</v>
      </c>
      <c r="C98" t="s">
        <v>11</v>
      </c>
      <c r="D98" t="s">
        <v>18</v>
      </c>
      <c r="E98" t="s">
        <v>28</v>
      </c>
      <c r="F98" t="s">
        <v>114</v>
      </c>
      <c r="G98" s="3">
        <v>131.09</v>
      </c>
      <c r="H98" t="s">
        <v>30</v>
      </c>
      <c r="I98" t="s">
        <v>26</v>
      </c>
      <c r="J98" s="3">
        <v>18040.12</v>
      </c>
    </row>
    <row r="99" spans="1:10" x14ac:dyDescent="0.3">
      <c r="A99" t="s">
        <v>164</v>
      </c>
      <c r="B99" s="2">
        <v>45361</v>
      </c>
      <c r="C99" t="s">
        <v>36</v>
      </c>
      <c r="D99" t="s">
        <v>18</v>
      </c>
      <c r="E99" t="s">
        <v>47</v>
      </c>
      <c r="F99" t="s">
        <v>91</v>
      </c>
      <c r="G99" s="3">
        <v>17.88</v>
      </c>
      <c r="H99" t="s">
        <v>30</v>
      </c>
      <c r="I99" t="s">
        <v>26</v>
      </c>
      <c r="J99" s="3">
        <v>18022.240000000002</v>
      </c>
    </row>
    <row r="100" spans="1:10" x14ac:dyDescent="0.3">
      <c r="A100" t="s">
        <v>165</v>
      </c>
      <c r="B100" s="2">
        <v>45363</v>
      </c>
      <c r="C100" t="s">
        <v>11</v>
      </c>
      <c r="D100" t="s">
        <v>18</v>
      </c>
      <c r="E100" t="s">
        <v>23</v>
      </c>
      <c r="F100" t="s">
        <v>135</v>
      </c>
      <c r="G100" s="3">
        <v>29.34</v>
      </c>
      <c r="H100" t="s">
        <v>30</v>
      </c>
      <c r="I100" t="s">
        <v>26</v>
      </c>
      <c r="J100" s="3">
        <v>17992.900000000001</v>
      </c>
    </row>
    <row r="101" spans="1:10" x14ac:dyDescent="0.3">
      <c r="A101" t="s">
        <v>166</v>
      </c>
      <c r="B101" s="2">
        <v>45363</v>
      </c>
      <c r="C101" t="s">
        <v>36</v>
      </c>
      <c r="D101" t="s">
        <v>18</v>
      </c>
      <c r="E101" t="s">
        <v>47</v>
      </c>
      <c r="F101" t="s">
        <v>48</v>
      </c>
      <c r="G101" s="3">
        <v>25.13</v>
      </c>
      <c r="H101" t="s">
        <v>30</v>
      </c>
      <c r="I101" t="s">
        <v>26</v>
      </c>
      <c r="J101" s="3">
        <v>17967.77</v>
      </c>
    </row>
    <row r="102" spans="1:10" x14ac:dyDescent="0.3">
      <c r="A102" t="s">
        <v>167</v>
      </c>
      <c r="B102" s="2">
        <v>45364</v>
      </c>
      <c r="C102" t="s">
        <v>36</v>
      </c>
      <c r="D102" t="s">
        <v>18</v>
      </c>
      <c r="E102" t="s">
        <v>28</v>
      </c>
      <c r="F102" t="s">
        <v>74</v>
      </c>
      <c r="G102" s="3">
        <v>167.34</v>
      </c>
      <c r="H102" t="s">
        <v>30</v>
      </c>
      <c r="I102" t="s">
        <v>26</v>
      </c>
      <c r="J102" s="3">
        <v>17800.43</v>
      </c>
    </row>
    <row r="103" spans="1:10" x14ac:dyDescent="0.3">
      <c r="A103" t="s">
        <v>168</v>
      </c>
      <c r="B103" s="2">
        <v>45364</v>
      </c>
      <c r="C103" t="s">
        <v>11</v>
      </c>
      <c r="D103" t="s">
        <v>18</v>
      </c>
      <c r="E103" t="s">
        <v>47</v>
      </c>
      <c r="F103" t="s">
        <v>106</v>
      </c>
      <c r="G103" s="3">
        <v>55.25</v>
      </c>
      <c r="H103" t="s">
        <v>25</v>
      </c>
      <c r="I103" t="s">
        <v>26</v>
      </c>
      <c r="J103" s="3">
        <v>17745.18</v>
      </c>
    </row>
    <row r="104" spans="1:10" x14ac:dyDescent="0.3">
      <c r="A104" t="s">
        <v>169</v>
      </c>
      <c r="B104" s="2">
        <v>45364</v>
      </c>
      <c r="C104" t="s">
        <v>36</v>
      </c>
      <c r="D104" t="s">
        <v>18</v>
      </c>
      <c r="E104" t="s">
        <v>39</v>
      </c>
      <c r="F104" t="s">
        <v>170</v>
      </c>
      <c r="G104" s="3">
        <v>38.869999999999997</v>
      </c>
      <c r="H104" t="s">
        <v>30</v>
      </c>
      <c r="I104" t="s">
        <v>26</v>
      </c>
      <c r="J104" s="3">
        <v>17706.310000000001</v>
      </c>
    </row>
    <row r="105" spans="1:10" x14ac:dyDescent="0.3">
      <c r="A105" t="s">
        <v>171</v>
      </c>
      <c r="B105" s="2">
        <v>45366</v>
      </c>
      <c r="C105" t="s">
        <v>36</v>
      </c>
      <c r="D105" t="s">
        <v>18</v>
      </c>
      <c r="E105" t="s">
        <v>23</v>
      </c>
      <c r="F105" t="s">
        <v>98</v>
      </c>
      <c r="G105" s="3">
        <v>80.58</v>
      </c>
      <c r="H105" t="s">
        <v>30</v>
      </c>
      <c r="I105" t="s">
        <v>26</v>
      </c>
      <c r="J105" s="3">
        <v>17625.73</v>
      </c>
    </row>
    <row r="106" spans="1:10" x14ac:dyDescent="0.3">
      <c r="A106" t="s">
        <v>172</v>
      </c>
      <c r="B106" s="2">
        <v>45366</v>
      </c>
      <c r="C106" t="s">
        <v>36</v>
      </c>
      <c r="D106" t="s">
        <v>18</v>
      </c>
      <c r="E106" t="s">
        <v>47</v>
      </c>
      <c r="F106" t="s">
        <v>82</v>
      </c>
      <c r="G106" s="3">
        <v>14.52</v>
      </c>
      <c r="H106" t="s">
        <v>30</v>
      </c>
      <c r="I106" t="s">
        <v>26</v>
      </c>
      <c r="J106" s="3">
        <v>17611.21</v>
      </c>
    </row>
    <row r="107" spans="1:10" x14ac:dyDescent="0.3">
      <c r="A107" t="s">
        <v>173</v>
      </c>
      <c r="B107" s="2">
        <v>45367</v>
      </c>
      <c r="C107" t="s">
        <v>11</v>
      </c>
      <c r="D107" t="s">
        <v>18</v>
      </c>
      <c r="E107" t="s">
        <v>23</v>
      </c>
      <c r="F107" t="s">
        <v>32</v>
      </c>
      <c r="G107" s="3">
        <v>68.31</v>
      </c>
      <c r="H107" t="s">
        <v>25</v>
      </c>
      <c r="I107" t="s">
        <v>26</v>
      </c>
      <c r="J107" s="3">
        <v>17542.900000000001</v>
      </c>
    </row>
    <row r="108" spans="1:10" x14ac:dyDescent="0.3">
      <c r="A108" t="s">
        <v>174</v>
      </c>
      <c r="B108" s="2">
        <v>45368</v>
      </c>
      <c r="C108" t="s">
        <v>11</v>
      </c>
      <c r="D108" t="s">
        <v>18</v>
      </c>
      <c r="E108" t="s">
        <v>23</v>
      </c>
      <c r="F108" t="s">
        <v>32</v>
      </c>
      <c r="G108" s="3">
        <v>78.819999999999993</v>
      </c>
      <c r="H108" t="s">
        <v>25</v>
      </c>
      <c r="I108" t="s">
        <v>26</v>
      </c>
      <c r="J108" s="3">
        <v>17464.080000000002</v>
      </c>
    </row>
    <row r="109" spans="1:10" x14ac:dyDescent="0.3">
      <c r="A109" t="s">
        <v>175</v>
      </c>
      <c r="B109" s="2">
        <v>45369</v>
      </c>
      <c r="C109" t="s">
        <v>36</v>
      </c>
      <c r="D109" t="s">
        <v>18</v>
      </c>
      <c r="E109" t="s">
        <v>47</v>
      </c>
      <c r="F109" t="s">
        <v>82</v>
      </c>
      <c r="G109" s="3">
        <v>15.93</v>
      </c>
      <c r="H109" t="s">
        <v>34</v>
      </c>
      <c r="I109" t="s">
        <v>26</v>
      </c>
      <c r="J109" s="3">
        <v>17448.150000000001</v>
      </c>
    </row>
    <row r="110" spans="1:10" x14ac:dyDescent="0.3">
      <c r="A110" t="s">
        <v>176</v>
      </c>
      <c r="B110" s="2">
        <v>45370</v>
      </c>
      <c r="C110" t="s">
        <v>11</v>
      </c>
      <c r="D110" t="s">
        <v>18</v>
      </c>
      <c r="E110" t="s">
        <v>28</v>
      </c>
      <c r="F110" t="s">
        <v>117</v>
      </c>
      <c r="G110" s="3">
        <v>33.49</v>
      </c>
      <c r="H110" t="s">
        <v>34</v>
      </c>
      <c r="I110" t="s">
        <v>26</v>
      </c>
      <c r="J110" s="3">
        <v>17414.66</v>
      </c>
    </row>
    <row r="111" spans="1:10" x14ac:dyDescent="0.3">
      <c r="A111" t="s">
        <v>177</v>
      </c>
      <c r="B111" s="2">
        <v>45370</v>
      </c>
      <c r="C111" t="s">
        <v>11</v>
      </c>
      <c r="D111" t="s">
        <v>18</v>
      </c>
      <c r="E111" t="s">
        <v>39</v>
      </c>
      <c r="F111" t="s">
        <v>170</v>
      </c>
      <c r="G111" s="3">
        <v>85.44</v>
      </c>
      <c r="H111" t="s">
        <v>30</v>
      </c>
      <c r="I111" t="s">
        <v>26</v>
      </c>
      <c r="J111" s="3">
        <v>17329.22</v>
      </c>
    </row>
    <row r="112" spans="1:10" x14ac:dyDescent="0.3">
      <c r="A112" t="s">
        <v>178</v>
      </c>
      <c r="B112" s="2">
        <v>45371</v>
      </c>
      <c r="C112" t="s">
        <v>11</v>
      </c>
      <c r="D112" t="s">
        <v>18</v>
      </c>
      <c r="E112" t="s">
        <v>39</v>
      </c>
      <c r="F112" t="s">
        <v>179</v>
      </c>
      <c r="G112" s="3">
        <v>17.02</v>
      </c>
      <c r="H112" t="s">
        <v>30</v>
      </c>
      <c r="I112" t="s">
        <v>26</v>
      </c>
      <c r="J112" s="3">
        <v>17312.2</v>
      </c>
    </row>
    <row r="113" spans="1:10" x14ac:dyDescent="0.3">
      <c r="A113" t="s">
        <v>180</v>
      </c>
      <c r="B113" s="2">
        <v>45373</v>
      </c>
      <c r="C113" t="s">
        <v>36</v>
      </c>
      <c r="D113" t="s">
        <v>18</v>
      </c>
      <c r="E113" t="s">
        <v>47</v>
      </c>
      <c r="F113" t="s">
        <v>82</v>
      </c>
      <c r="G113" s="3">
        <v>44.75</v>
      </c>
      <c r="H113" t="s">
        <v>34</v>
      </c>
      <c r="I113" t="s">
        <v>26</v>
      </c>
      <c r="J113" s="3">
        <v>17267.45</v>
      </c>
    </row>
    <row r="114" spans="1:10" x14ac:dyDescent="0.3">
      <c r="A114" t="s">
        <v>181</v>
      </c>
      <c r="B114" s="2">
        <v>45375</v>
      </c>
      <c r="C114" t="s">
        <v>11</v>
      </c>
      <c r="D114" t="s">
        <v>18</v>
      </c>
      <c r="E114" t="s">
        <v>28</v>
      </c>
      <c r="F114" t="s">
        <v>74</v>
      </c>
      <c r="G114" s="3">
        <v>136.87</v>
      </c>
      <c r="H114" t="s">
        <v>30</v>
      </c>
      <c r="I114" t="s">
        <v>26</v>
      </c>
      <c r="J114" s="3">
        <v>17130.580000000002</v>
      </c>
    </row>
    <row r="115" spans="1:10" x14ac:dyDescent="0.3">
      <c r="A115" t="s">
        <v>182</v>
      </c>
      <c r="B115" s="2">
        <v>45376</v>
      </c>
      <c r="C115" t="s">
        <v>126</v>
      </c>
      <c r="D115" t="s">
        <v>12</v>
      </c>
      <c r="E115" t="s">
        <v>108</v>
      </c>
      <c r="F115" t="s">
        <v>127</v>
      </c>
      <c r="G115" s="3">
        <v>1204.2</v>
      </c>
      <c r="H115" t="s">
        <v>183</v>
      </c>
      <c r="I115" t="s">
        <v>26</v>
      </c>
      <c r="J115" s="3">
        <v>18334.78</v>
      </c>
    </row>
    <row r="116" spans="1:10" x14ac:dyDescent="0.3">
      <c r="A116" t="s">
        <v>184</v>
      </c>
      <c r="B116" s="2">
        <v>45377</v>
      </c>
      <c r="C116" t="s">
        <v>11</v>
      </c>
      <c r="D116" t="s">
        <v>18</v>
      </c>
      <c r="E116" t="s">
        <v>47</v>
      </c>
      <c r="F116" t="s">
        <v>69</v>
      </c>
      <c r="G116" s="3">
        <v>39.950000000000003</v>
      </c>
      <c r="H116" t="s">
        <v>30</v>
      </c>
      <c r="I116" t="s">
        <v>26</v>
      </c>
      <c r="J116" s="3">
        <v>18294.830000000002</v>
      </c>
    </row>
    <row r="117" spans="1:10" x14ac:dyDescent="0.3">
      <c r="A117" t="s">
        <v>185</v>
      </c>
      <c r="B117" s="2">
        <v>45377</v>
      </c>
      <c r="C117" t="s">
        <v>36</v>
      </c>
      <c r="D117" t="s">
        <v>18</v>
      </c>
      <c r="E117" t="s">
        <v>39</v>
      </c>
      <c r="F117" t="s">
        <v>186</v>
      </c>
      <c r="G117" s="3">
        <v>45.98</v>
      </c>
      <c r="H117" t="s">
        <v>34</v>
      </c>
      <c r="I117" t="s">
        <v>26</v>
      </c>
      <c r="J117" s="3">
        <v>18248.849999999999</v>
      </c>
    </row>
    <row r="118" spans="1:10" x14ac:dyDescent="0.3">
      <c r="A118" t="s">
        <v>187</v>
      </c>
      <c r="B118" s="2">
        <v>45381</v>
      </c>
      <c r="C118" t="s">
        <v>11</v>
      </c>
      <c r="D118" t="s">
        <v>18</v>
      </c>
      <c r="E118" t="s">
        <v>23</v>
      </c>
      <c r="F118" t="s">
        <v>135</v>
      </c>
      <c r="G118" s="3">
        <v>31.15</v>
      </c>
      <c r="H118" t="s">
        <v>30</v>
      </c>
      <c r="I118" t="s">
        <v>26</v>
      </c>
      <c r="J118" s="3">
        <v>18217.7</v>
      </c>
    </row>
    <row r="119" spans="1:10" x14ac:dyDescent="0.3">
      <c r="A119" t="s">
        <v>188</v>
      </c>
      <c r="B119" s="2">
        <v>45382</v>
      </c>
      <c r="C119" t="s">
        <v>11</v>
      </c>
      <c r="D119" t="s">
        <v>18</v>
      </c>
      <c r="E119" t="s">
        <v>28</v>
      </c>
      <c r="F119" t="s">
        <v>117</v>
      </c>
      <c r="G119" s="3">
        <v>165.26</v>
      </c>
      <c r="H119" t="s">
        <v>30</v>
      </c>
      <c r="I119" t="s">
        <v>26</v>
      </c>
      <c r="J119" s="3">
        <v>18052.439999999999</v>
      </c>
    </row>
    <row r="120" spans="1:10" x14ac:dyDescent="0.3">
      <c r="A120" t="s">
        <v>189</v>
      </c>
      <c r="B120" s="2">
        <v>45383</v>
      </c>
      <c r="C120" t="s">
        <v>11</v>
      </c>
      <c r="D120" t="s">
        <v>12</v>
      </c>
      <c r="E120" t="s">
        <v>13</v>
      </c>
      <c r="F120" t="s">
        <v>14</v>
      </c>
      <c r="G120" s="3">
        <v>4992.96</v>
      </c>
      <c r="H120" t="s">
        <v>15</v>
      </c>
      <c r="I120" t="s">
        <v>16</v>
      </c>
      <c r="J120" s="3">
        <v>23045.4</v>
      </c>
    </row>
    <row r="121" spans="1:10" x14ac:dyDescent="0.3">
      <c r="A121" t="s">
        <v>190</v>
      </c>
      <c r="B121" s="2">
        <v>45383</v>
      </c>
      <c r="C121" t="s">
        <v>11</v>
      </c>
      <c r="D121" t="s">
        <v>18</v>
      </c>
      <c r="E121" t="s">
        <v>19</v>
      </c>
      <c r="F121" t="s">
        <v>191</v>
      </c>
      <c r="G121" s="3">
        <v>1314.76</v>
      </c>
      <c r="H121" t="s">
        <v>21</v>
      </c>
      <c r="I121" t="s">
        <v>16</v>
      </c>
      <c r="J121" s="3">
        <v>21730.639999999999</v>
      </c>
    </row>
    <row r="122" spans="1:10" x14ac:dyDescent="0.3">
      <c r="A122" t="s">
        <v>192</v>
      </c>
      <c r="B122" s="2">
        <v>45383</v>
      </c>
      <c r="C122" t="s">
        <v>36</v>
      </c>
      <c r="D122" t="s">
        <v>18</v>
      </c>
      <c r="E122" t="s">
        <v>23</v>
      </c>
      <c r="F122" t="s">
        <v>37</v>
      </c>
      <c r="G122" s="3">
        <v>37.85</v>
      </c>
      <c r="H122" t="s">
        <v>30</v>
      </c>
      <c r="I122" t="s">
        <v>26</v>
      </c>
      <c r="J122" s="3">
        <v>21692.79</v>
      </c>
    </row>
    <row r="123" spans="1:10" x14ac:dyDescent="0.3">
      <c r="A123" t="s">
        <v>193</v>
      </c>
      <c r="B123" s="2">
        <v>45383</v>
      </c>
      <c r="C123" t="s">
        <v>11</v>
      </c>
      <c r="D123" t="s">
        <v>18</v>
      </c>
      <c r="E123" t="s">
        <v>39</v>
      </c>
      <c r="F123" t="s">
        <v>186</v>
      </c>
      <c r="G123" s="3">
        <v>89.04</v>
      </c>
      <c r="H123" t="s">
        <v>34</v>
      </c>
      <c r="I123" t="s">
        <v>26</v>
      </c>
      <c r="J123" s="3">
        <v>21603.75</v>
      </c>
    </row>
    <row r="124" spans="1:10" x14ac:dyDescent="0.3">
      <c r="A124" t="s">
        <v>194</v>
      </c>
      <c r="B124" s="2">
        <v>45384</v>
      </c>
      <c r="C124" t="s">
        <v>36</v>
      </c>
      <c r="D124" t="s">
        <v>18</v>
      </c>
      <c r="E124" t="s">
        <v>28</v>
      </c>
      <c r="F124" t="s">
        <v>114</v>
      </c>
      <c r="G124" s="3">
        <v>101.07</v>
      </c>
      <c r="H124" t="s">
        <v>30</v>
      </c>
      <c r="I124" t="s">
        <v>26</v>
      </c>
      <c r="J124" s="3">
        <v>21502.68</v>
      </c>
    </row>
    <row r="125" spans="1:10" x14ac:dyDescent="0.3">
      <c r="A125" t="s">
        <v>195</v>
      </c>
      <c r="B125" s="2">
        <v>45384</v>
      </c>
      <c r="C125" t="s">
        <v>11</v>
      </c>
      <c r="D125" t="s">
        <v>18</v>
      </c>
      <c r="E125" t="s">
        <v>23</v>
      </c>
      <c r="F125" t="s">
        <v>37</v>
      </c>
      <c r="G125" s="3">
        <v>76.13</v>
      </c>
      <c r="H125" t="s">
        <v>25</v>
      </c>
      <c r="I125" t="s">
        <v>26</v>
      </c>
      <c r="J125" s="3">
        <v>21426.55</v>
      </c>
    </row>
    <row r="126" spans="1:10" x14ac:dyDescent="0.3">
      <c r="A126" t="s">
        <v>196</v>
      </c>
      <c r="B126" s="2">
        <v>45386</v>
      </c>
      <c r="C126" t="s">
        <v>36</v>
      </c>
      <c r="D126" t="s">
        <v>18</v>
      </c>
      <c r="E126" t="s">
        <v>47</v>
      </c>
      <c r="F126" t="s">
        <v>56</v>
      </c>
      <c r="G126" s="3">
        <v>35.97</v>
      </c>
      <c r="H126" t="s">
        <v>34</v>
      </c>
      <c r="I126" t="s">
        <v>26</v>
      </c>
      <c r="J126" s="3">
        <v>21390.58</v>
      </c>
    </row>
    <row r="127" spans="1:10" x14ac:dyDescent="0.3">
      <c r="A127" t="s">
        <v>197</v>
      </c>
      <c r="B127" s="2">
        <v>45387</v>
      </c>
      <c r="C127" t="s">
        <v>11</v>
      </c>
      <c r="D127" t="s">
        <v>18</v>
      </c>
      <c r="E127" t="s">
        <v>43</v>
      </c>
      <c r="F127" t="s">
        <v>44</v>
      </c>
      <c r="G127" s="3">
        <v>184.76</v>
      </c>
      <c r="H127" t="s">
        <v>21</v>
      </c>
      <c r="I127" t="s">
        <v>16</v>
      </c>
      <c r="J127" s="3">
        <v>21205.82</v>
      </c>
    </row>
    <row r="128" spans="1:10" x14ac:dyDescent="0.3">
      <c r="A128" t="s">
        <v>198</v>
      </c>
      <c r="B128" s="2">
        <v>45387</v>
      </c>
      <c r="C128" t="s">
        <v>36</v>
      </c>
      <c r="D128" t="s">
        <v>18</v>
      </c>
      <c r="E128" t="s">
        <v>47</v>
      </c>
      <c r="F128" t="s">
        <v>82</v>
      </c>
      <c r="G128" s="3">
        <v>27.49</v>
      </c>
      <c r="H128" t="s">
        <v>25</v>
      </c>
      <c r="I128" t="s">
        <v>26</v>
      </c>
      <c r="J128" s="3">
        <v>21178.33</v>
      </c>
    </row>
    <row r="129" spans="1:10" x14ac:dyDescent="0.3">
      <c r="A129" t="s">
        <v>199</v>
      </c>
      <c r="B129" s="2">
        <v>45388</v>
      </c>
      <c r="C129" t="s">
        <v>11</v>
      </c>
      <c r="D129" t="s">
        <v>18</v>
      </c>
      <c r="E129" t="s">
        <v>43</v>
      </c>
      <c r="F129" t="s">
        <v>50</v>
      </c>
      <c r="G129" s="3">
        <v>79.47</v>
      </c>
      <c r="H129" t="s">
        <v>21</v>
      </c>
      <c r="I129" t="s">
        <v>16</v>
      </c>
      <c r="J129" s="3">
        <v>21098.86</v>
      </c>
    </row>
    <row r="130" spans="1:10" x14ac:dyDescent="0.3">
      <c r="A130" t="s">
        <v>200</v>
      </c>
      <c r="B130" s="2">
        <v>45388</v>
      </c>
      <c r="C130" t="s">
        <v>36</v>
      </c>
      <c r="D130" t="s">
        <v>18</v>
      </c>
      <c r="E130" t="s">
        <v>28</v>
      </c>
      <c r="F130" t="s">
        <v>29</v>
      </c>
      <c r="G130" s="3">
        <v>77.47</v>
      </c>
      <c r="H130" t="s">
        <v>34</v>
      </c>
      <c r="I130" t="s">
        <v>26</v>
      </c>
      <c r="J130" s="3">
        <v>21021.39</v>
      </c>
    </row>
    <row r="131" spans="1:10" x14ac:dyDescent="0.3">
      <c r="A131" t="s">
        <v>201</v>
      </c>
      <c r="B131" s="2">
        <v>45388</v>
      </c>
      <c r="C131" t="s">
        <v>36</v>
      </c>
      <c r="D131" t="s">
        <v>18</v>
      </c>
      <c r="E131" t="s">
        <v>47</v>
      </c>
      <c r="F131" t="s">
        <v>69</v>
      </c>
      <c r="G131" s="3">
        <v>54.76</v>
      </c>
      <c r="H131" t="s">
        <v>34</v>
      </c>
      <c r="I131" t="s">
        <v>26</v>
      </c>
      <c r="J131" s="3">
        <v>20966.63</v>
      </c>
    </row>
    <row r="132" spans="1:10" x14ac:dyDescent="0.3">
      <c r="A132" t="s">
        <v>202</v>
      </c>
      <c r="B132" s="2">
        <v>45388</v>
      </c>
      <c r="C132" t="s">
        <v>36</v>
      </c>
      <c r="D132" t="s">
        <v>18</v>
      </c>
      <c r="E132" t="s">
        <v>39</v>
      </c>
      <c r="F132" t="s">
        <v>186</v>
      </c>
      <c r="G132" s="3">
        <v>35.58</v>
      </c>
      <c r="H132" t="s">
        <v>34</v>
      </c>
      <c r="I132" t="s">
        <v>26</v>
      </c>
      <c r="J132" s="3">
        <v>20931.05</v>
      </c>
    </row>
    <row r="133" spans="1:10" x14ac:dyDescent="0.3">
      <c r="A133" t="s">
        <v>203</v>
      </c>
      <c r="B133" s="2">
        <v>45389</v>
      </c>
      <c r="C133" t="s">
        <v>36</v>
      </c>
      <c r="D133" t="s">
        <v>18</v>
      </c>
      <c r="E133" t="s">
        <v>43</v>
      </c>
      <c r="F133" t="s">
        <v>103</v>
      </c>
      <c r="G133" s="3">
        <v>242.72</v>
      </c>
      <c r="H133" t="s">
        <v>21</v>
      </c>
      <c r="I133" t="s">
        <v>16</v>
      </c>
      <c r="J133" s="3">
        <v>20688.330000000002</v>
      </c>
    </row>
    <row r="134" spans="1:10" x14ac:dyDescent="0.3">
      <c r="A134" t="s">
        <v>204</v>
      </c>
      <c r="B134" s="2">
        <v>45389</v>
      </c>
      <c r="C134" t="s">
        <v>11</v>
      </c>
      <c r="D134" t="s">
        <v>18</v>
      </c>
      <c r="E134" t="s">
        <v>28</v>
      </c>
      <c r="F134" t="s">
        <v>29</v>
      </c>
      <c r="G134" s="3">
        <v>152.11000000000001</v>
      </c>
      <c r="H134" t="s">
        <v>30</v>
      </c>
      <c r="I134" t="s">
        <v>26</v>
      </c>
      <c r="J134" s="3">
        <v>20536.22</v>
      </c>
    </row>
    <row r="135" spans="1:10" x14ac:dyDescent="0.3">
      <c r="A135" t="s">
        <v>205</v>
      </c>
      <c r="B135" s="2">
        <v>45390</v>
      </c>
      <c r="C135" t="s">
        <v>11</v>
      </c>
      <c r="D135" t="s">
        <v>18</v>
      </c>
      <c r="E135" t="s">
        <v>47</v>
      </c>
      <c r="F135" t="s">
        <v>56</v>
      </c>
      <c r="G135" s="3">
        <v>42.64</v>
      </c>
      <c r="H135" t="s">
        <v>34</v>
      </c>
      <c r="I135" t="s">
        <v>26</v>
      </c>
      <c r="J135" s="3">
        <v>20493.580000000002</v>
      </c>
    </row>
    <row r="136" spans="1:10" x14ac:dyDescent="0.3">
      <c r="A136" t="s">
        <v>206</v>
      </c>
      <c r="B136" s="2">
        <v>45391</v>
      </c>
      <c r="C136" t="s">
        <v>36</v>
      </c>
      <c r="D136" t="s">
        <v>18</v>
      </c>
      <c r="E136" t="s">
        <v>23</v>
      </c>
      <c r="F136" t="s">
        <v>24</v>
      </c>
      <c r="G136" s="3">
        <v>54.1</v>
      </c>
      <c r="H136" t="s">
        <v>25</v>
      </c>
      <c r="I136" t="s">
        <v>26</v>
      </c>
      <c r="J136" s="3">
        <v>20439.48</v>
      </c>
    </row>
    <row r="137" spans="1:10" x14ac:dyDescent="0.3">
      <c r="A137" t="s">
        <v>207</v>
      </c>
      <c r="B137" s="2">
        <v>45391</v>
      </c>
      <c r="C137" t="s">
        <v>36</v>
      </c>
      <c r="D137" t="s">
        <v>18</v>
      </c>
      <c r="E137" t="s">
        <v>47</v>
      </c>
      <c r="F137" t="s">
        <v>60</v>
      </c>
      <c r="G137" s="3">
        <v>54.2</v>
      </c>
      <c r="H137" t="s">
        <v>30</v>
      </c>
      <c r="I137" t="s">
        <v>26</v>
      </c>
      <c r="J137" s="3">
        <v>20385.28</v>
      </c>
    </row>
    <row r="138" spans="1:10" x14ac:dyDescent="0.3">
      <c r="A138" t="s">
        <v>208</v>
      </c>
      <c r="B138" s="2">
        <v>45392</v>
      </c>
      <c r="C138" t="s">
        <v>11</v>
      </c>
      <c r="D138" t="s">
        <v>18</v>
      </c>
      <c r="E138" t="s">
        <v>28</v>
      </c>
      <c r="F138" t="s">
        <v>117</v>
      </c>
      <c r="G138" s="3">
        <v>45.63</v>
      </c>
      <c r="H138" t="s">
        <v>30</v>
      </c>
      <c r="I138" t="s">
        <v>26</v>
      </c>
      <c r="J138" s="3">
        <v>20339.650000000001</v>
      </c>
    </row>
    <row r="139" spans="1:10" x14ac:dyDescent="0.3">
      <c r="A139" t="s">
        <v>209</v>
      </c>
      <c r="B139" s="2">
        <v>45393</v>
      </c>
      <c r="C139" t="s">
        <v>11</v>
      </c>
      <c r="D139" t="s">
        <v>12</v>
      </c>
      <c r="E139" t="s">
        <v>108</v>
      </c>
      <c r="F139" t="s">
        <v>127</v>
      </c>
      <c r="G139" s="3">
        <v>713.12</v>
      </c>
      <c r="H139" t="s">
        <v>110</v>
      </c>
      <c r="I139" t="s">
        <v>26</v>
      </c>
      <c r="J139" s="3">
        <v>21052.77</v>
      </c>
    </row>
    <row r="140" spans="1:10" x14ac:dyDescent="0.3">
      <c r="A140" t="s">
        <v>210</v>
      </c>
      <c r="B140" s="2">
        <v>45395</v>
      </c>
      <c r="C140" t="s">
        <v>11</v>
      </c>
      <c r="D140" t="s">
        <v>18</v>
      </c>
      <c r="E140" t="s">
        <v>28</v>
      </c>
      <c r="F140" t="s">
        <v>114</v>
      </c>
      <c r="G140" s="3">
        <v>158.47999999999999</v>
      </c>
      <c r="H140" t="s">
        <v>30</v>
      </c>
      <c r="I140" t="s">
        <v>26</v>
      </c>
      <c r="J140" s="3">
        <v>20894.29</v>
      </c>
    </row>
    <row r="141" spans="1:10" x14ac:dyDescent="0.3">
      <c r="A141" t="s">
        <v>211</v>
      </c>
      <c r="B141" s="2">
        <v>45395</v>
      </c>
      <c r="C141" t="s">
        <v>36</v>
      </c>
      <c r="D141" t="s">
        <v>18</v>
      </c>
      <c r="E141" t="s">
        <v>23</v>
      </c>
      <c r="F141" t="s">
        <v>54</v>
      </c>
      <c r="G141" s="3">
        <v>31.37</v>
      </c>
      <c r="H141" t="s">
        <v>25</v>
      </c>
      <c r="I141" t="s">
        <v>26</v>
      </c>
      <c r="J141" s="3">
        <v>20862.919999999998</v>
      </c>
    </row>
    <row r="142" spans="1:10" x14ac:dyDescent="0.3">
      <c r="A142" t="s">
        <v>212</v>
      </c>
      <c r="B142" s="2">
        <v>45396</v>
      </c>
      <c r="C142" t="s">
        <v>36</v>
      </c>
      <c r="D142" t="s">
        <v>18</v>
      </c>
      <c r="E142" t="s">
        <v>28</v>
      </c>
      <c r="F142" t="s">
        <v>52</v>
      </c>
      <c r="G142" s="3">
        <v>94.14</v>
      </c>
      <c r="H142" t="s">
        <v>30</v>
      </c>
      <c r="I142" t="s">
        <v>26</v>
      </c>
      <c r="J142" s="3">
        <v>20768.78</v>
      </c>
    </row>
    <row r="143" spans="1:10" x14ac:dyDescent="0.3">
      <c r="A143" t="s">
        <v>213</v>
      </c>
      <c r="B143" s="2">
        <v>45396</v>
      </c>
      <c r="C143" t="s">
        <v>11</v>
      </c>
      <c r="D143" t="s">
        <v>18</v>
      </c>
      <c r="E143" t="s">
        <v>23</v>
      </c>
      <c r="F143" t="s">
        <v>124</v>
      </c>
      <c r="G143" s="3">
        <v>72.98</v>
      </c>
      <c r="H143" t="s">
        <v>30</v>
      </c>
      <c r="I143" t="s">
        <v>26</v>
      </c>
      <c r="J143" s="3">
        <v>20695.8</v>
      </c>
    </row>
    <row r="144" spans="1:10" x14ac:dyDescent="0.3">
      <c r="A144" t="s">
        <v>214</v>
      </c>
      <c r="B144" s="2">
        <v>45396</v>
      </c>
      <c r="C144" t="s">
        <v>36</v>
      </c>
      <c r="D144" t="s">
        <v>18</v>
      </c>
      <c r="E144" t="s">
        <v>47</v>
      </c>
      <c r="F144" t="s">
        <v>106</v>
      </c>
      <c r="G144" s="3">
        <v>17.09</v>
      </c>
      <c r="H144" t="s">
        <v>34</v>
      </c>
      <c r="I144" t="s">
        <v>26</v>
      </c>
      <c r="J144" s="3">
        <v>20678.71</v>
      </c>
    </row>
    <row r="145" spans="1:10" x14ac:dyDescent="0.3">
      <c r="A145" t="s">
        <v>215</v>
      </c>
      <c r="B145" s="2">
        <v>45397</v>
      </c>
      <c r="C145" t="s">
        <v>11</v>
      </c>
      <c r="D145" t="s">
        <v>18</v>
      </c>
      <c r="E145" t="s">
        <v>28</v>
      </c>
      <c r="F145" t="s">
        <v>117</v>
      </c>
      <c r="G145" s="3">
        <v>87.53</v>
      </c>
      <c r="H145" t="s">
        <v>34</v>
      </c>
      <c r="I145" t="s">
        <v>26</v>
      </c>
      <c r="J145" s="3">
        <v>20591.18</v>
      </c>
    </row>
    <row r="146" spans="1:10" x14ac:dyDescent="0.3">
      <c r="A146" t="s">
        <v>216</v>
      </c>
      <c r="B146" s="2">
        <v>45397</v>
      </c>
      <c r="C146" t="s">
        <v>36</v>
      </c>
      <c r="D146" t="s">
        <v>18</v>
      </c>
      <c r="E146" t="s">
        <v>47</v>
      </c>
      <c r="F146" t="s">
        <v>69</v>
      </c>
      <c r="G146" s="3">
        <v>45.97</v>
      </c>
      <c r="H146" t="s">
        <v>34</v>
      </c>
      <c r="I146" t="s">
        <v>26</v>
      </c>
      <c r="J146" s="3">
        <v>20545.21</v>
      </c>
    </row>
    <row r="147" spans="1:10" x14ac:dyDescent="0.3">
      <c r="A147" t="s">
        <v>217</v>
      </c>
      <c r="B147" s="2">
        <v>45397</v>
      </c>
      <c r="C147" t="s">
        <v>11</v>
      </c>
      <c r="D147" t="s">
        <v>18</v>
      </c>
      <c r="E147" t="s">
        <v>39</v>
      </c>
      <c r="F147" t="s">
        <v>156</v>
      </c>
      <c r="G147" s="3">
        <v>20.45</v>
      </c>
      <c r="H147" t="s">
        <v>30</v>
      </c>
      <c r="I147" t="s">
        <v>26</v>
      </c>
      <c r="J147" s="3">
        <v>20524.759999999998</v>
      </c>
    </row>
    <row r="148" spans="1:10" x14ac:dyDescent="0.3">
      <c r="A148" t="s">
        <v>218</v>
      </c>
      <c r="B148" s="2">
        <v>45398</v>
      </c>
      <c r="C148" t="s">
        <v>11</v>
      </c>
      <c r="D148" t="s">
        <v>18</v>
      </c>
      <c r="E148" t="s">
        <v>28</v>
      </c>
      <c r="F148" t="s">
        <v>117</v>
      </c>
      <c r="G148" s="3">
        <v>95.98</v>
      </c>
      <c r="H148" t="s">
        <v>34</v>
      </c>
      <c r="I148" t="s">
        <v>26</v>
      </c>
      <c r="J148" s="3">
        <v>20428.78</v>
      </c>
    </row>
    <row r="149" spans="1:10" x14ac:dyDescent="0.3">
      <c r="A149" t="s">
        <v>219</v>
      </c>
      <c r="B149" s="2">
        <v>45399</v>
      </c>
      <c r="C149" t="s">
        <v>11</v>
      </c>
      <c r="D149" t="s">
        <v>18</v>
      </c>
      <c r="E149" t="s">
        <v>28</v>
      </c>
      <c r="F149" t="s">
        <v>52</v>
      </c>
      <c r="G149" s="3">
        <v>79.77</v>
      </c>
      <c r="H149" t="s">
        <v>34</v>
      </c>
      <c r="I149" t="s">
        <v>26</v>
      </c>
      <c r="J149" s="3">
        <v>20349.009999999998</v>
      </c>
    </row>
    <row r="150" spans="1:10" x14ac:dyDescent="0.3">
      <c r="A150" t="s">
        <v>220</v>
      </c>
      <c r="B150" s="2">
        <v>45399</v>
      </c>
      <c r="C150" t="s">
        <v>36</v>
      </c>
      <c r="D150" t="s">
        <v>18</v>
      </c>
      <c r="E150" t="s">
        <v>47</v>
      </c>
      <c r="F150" t="s">
        <v>48</v>
      </c>
      <c r="G150" s="3">
        <v>30.5</v>
      </c>
      <c r="H150" t="s">
        <v>25</v>
      </c>
      <c r="I150" t="s">
        <v>26</v>
      </c>
      <c r="J150" s="3">
        <v>20318.509999999998</v>
      </c>
    </row>
    <row r="151" spans="1:10" x14ac:dyDescent="0.3">
      <c r="A151" t="s">
        <v>223</v>
      </c>
      <c r="B151" s="2">
        <v>45945</v>
      </c>
      <c r="C151" t="s">
        <v>36</v>
      </c>
      <c r="D151" t="s">
        <v>18</v>
      </c>
      <c r="E151" t="s">
        <v>47</v>
      </c>
      <c r="F151" t="s">
        <v>91</v>
      </c>
      <c r="G151" s="3">
        <v>33.49</v>
      </c>
      <c r="H151" t="s">
        <v>25</v>
      </c>
      <c r="I151" t="s">
        <v>26</v>
      </c>
      <c r="J151" s="3">
        <v>112360.68</v>
      </c>
    </row>
    <row r="152" spans="1:10" x14ac:dyDescent="0.3">
      <c r="A152" t="s">
        <v>224</v>
      </c>
      <c r="B152" s="2">
        <v>45950</v>
      </c>
      <c r="C152" t="s">
        <v>36</v>
      </c>
      <c r="D152" t="s">
        <v>18</v>
      </c>
      <c r="E152" t="s">
        <v>23</v>
      </c>
      <c r="F152" t="s">
        <v>135</v>
      </c>
      <c r="G152" s="3">
        <v>17.04</v>
      </c>
      <c r="H152" t="s">
        <v>30</v>
      </c>
      <c r="I152" t="s">
        <v>26</v>
      </c>
      <c r="J152" s="3">
        <v>112343.64</v>
      </c>
    </row>
    <row r="153" spans="1:10" x14ac:dyDescent="0.3">
      <c r="A153" t="s">
        <v>225</v>
      </c>
      <c r="B153" s="2">
        <v>45950</v>
      </c>
      <c r="C153" t="s">
        <v>36</v>
      </c>
      <c r="D153" t="s">
        <v>18</v>
      </c>
      <c r="E153" t="s">
        <v>47</v>
      </c>
      <c r="F153" t="s">
        <v>106</v>
      </c>
      <c r="G153" s="3">
        <v>33.99</v>
      </c>
      <c r="H153" t="s">
        <v>30</v>
      </c>
      <c r="I153" t="s">
        <v>26</v>
      </c>
      <c r="J153" s="3">
        <v>112309.65</v>
      </c>
    </row>
    <row r="154" spans="1:10" x14ac:dyDescent="0.3">
      <c r="A154" t="s">
        <v>226</v>
      </c>
      <c r="B154" s="2">
        <v>45951</v>
      </c>
      <c r="C154" t="s">
        <v>126</v>
      </c>
      <c r="D154" t="s">
        <v>12</v>
      </c>
      <c r="E154" t="s">
        <v>108</v>
      </c>
      <c r="F154" t="s">
        <v>109</v>
      </c>
      <c r="G154" s="3">
        <v>617.59</v>
      </c>
      <c r="H154" t="s">
        <v>110</v>
      </c>
      <c r="I154" t="s">
        <v>26</v>
      </c>
      <c r="J154" s="3">
        <v>112927.24</v>
      </c>
    </row>
    <row r="155" spans="1:10" x14ac:dyDescent="0.3">
      <c r="A155" t="s">
        <v>227</v>
      </c>
      <c r="B155" s="2">
        <v>45951</v>
      </c>
      <c r="C155" t="s">
        <v>11</v>
      </c>
      <c r="D155" t="s">
        <v>18</v>
      </c>
      <c r="E155" t="s">
        <v>47</v>
      </c>
      <c r="F155" t="s">
        <v>56</v>
      </c>
      <c r="G155" s="3">
        <v>20.420000000000002</v>
      </c>
      <c r="H155" t="s">
        <v>34</v>
      </c>
      <c r="I155" t="s">
        <v>26</v>
      </c>
      <c r="J155" s="3">
        <v>112906.82</v>
      </c>
    </row>
    <row r="156" spans="1:10" x14ac:dyDescent="0.3">
      <c r="A156" t="s">
        <v>228</v>
      </c>
      <c r="B156" s="2">
        <v>45952</v>
      </c>
      <c r="C156" t="s">
        <v>36</v>
      </c>
      <c r="D156" t="s">
        <v>18</v>
      </c>
      <c r="E156" t="s">
        <v>39</v>
      </c>
      <c r="F156" t="s">
        <v>156</v>
      </c>
      <c r="G156" s="3">
        <v>77.59</v>
      </c>
      <c r="H156" t="s">
        <v>34</v>
      </c>
      <c r="I156" t="s">
        <v>26</v>
      </c>
      <c r="J156" s="3">
        <v>112829.23</v>
      </c>
    </row>
    <row r="157" spans="1:10" x14ac:dyDescent="0.3">
      <c r="A157" t="s">
        <v>229</v>
      </c>
      <c r="B157" s="2">
        <v>45954</v>
      </c>
      <c r="C157" t="s">
        <v>11</v>
      </c>
      <c r="D157" t="s">
        <v>12</v>
      </c>
      <c r="E157" t="s">
        <v>108</v>
      </c>
      <c r="F157" t="s">
        <v>127</v>
      </c>
      <c r="G157" s="3">
        <v>524.25</v>
      </c>
      <c r="H157" t="s">
        <v>110</v>
      </c>
      <c r="I157" t="s">
        <v>26</v>
      </c>
      <c r="J157" s="3">
        <v>113353.48</v>
      </c>
    </row>
    <row r="158" spans="1:10" x14ac:dyDescent="0.3">
      <c r="A158" t="s">
        <v>230</v>
      </c>
      <c r="B158" s="2">
        <v>45954</v>
      </c>
      <c r="C158" t="s">
        <v>36</v>
      </c>
      <c r="D158" t="s">
        <v>18</v>
      </c>
      <c r="E158" t="s">
        <v>28</v>
      </c>
      <c r="F158" t="s">
        <v>29</v>
      </c>
      <c r="G158" s="3">
        <v>178.45</v>
      </c>
      <c r="H158" t="s">
        <v>30</v>
      </c>
      <c r="I158" t="s">
        <v>26</v>
      </c>
      <c r="J158" s="3">
        <v>113175.03</v>
      </c>
    </row>
    <row r="159" spans="1:10" x14ac:dyDescent="0.3">
      <c r="A159" t="s">
        <v>231</v>
      </c>
      <c r="B159" s="2">
        <v>45954</v>
      </c>
      <c r="C159" t="s">
        <v>36</v>
      </c>
      <c r="D159" t="s">
        <v>18</v>
      </c>
      <c r="E159" t="s">
        <v>23</v>
      </c>
      <c r="F159" t="s">
        <v>124</v>
      </c>
      <c r="G159" s="3">
        <v>73.56</v>
      </c>
      <c r="H159" t="s">
        <v>34</v>
      </c>
      <c r="I159" t="s">
        <v>26</v>
      </c>
      <c r="J159" s="3">
        <v>113101.47</v>
      </c>
    </row>
    <row r="160" spans="1:10" x14ac:dyDescent="0.3">
      <c r="A160" t="s">
        <v>232</v>
      </c>
      <c r="B160" s="2">
        <v>45954</v>
      </c>
      <c r="C160" t="s">
        <v>11</v>
      </c>
      <c r="D160" t="s">
        <v>18</v>
      </c>
      <c r="E160" t="s">
        <v>39</v>
      </c>
      <c r="F160" t="s">
        <v>186</v>
      </c>
      <c r="G160" s="3">
        <v>94.2</v>
      </c>
      <c r="H160" t="s">
        <v>30</v>
      </c>
      <c r="I160" t="s">
        <v>26</v>
      </c>
      <c r="J160" s="3">
        <v>113007.27</v>
      </c>
    </row>
    <row r="161" spans="1:10" x14ac:dyDescent="0.3">
      <c r="A161" t="s">
        <v>233</v>
      </c>
      <c r="B161" s="2">
        <v>45956</v>
      </c>
      <c r="C161" t="s">
        <v>11</v>
      </c>
      <c r="D161" t="s">
        <v>18</v>
      </c>
      <c r="E161" t="s">
        <v>23</v>
      </c>
      <c r="F161" t="s">
        <v>124</v>
      </c>
      <c r="G161" s="3">
        <v>75.03</v>
      </c>
      <c r="H161" t="s">
        <v>34</v>
      </c>
      <c r="I161" t="s">
        <v>26</v>
      </c>
      <c r="J161" s="3">
        <v>112932.24</v>
      </c>
    </row>
    <row r="162" spans="1:10" x14ac:dyDescent="0.3">
      <c r="A162" t="s">
        <v>234</v>
      </c>
      <c r="B162" s="2">
        <v>45957</v>
      </c>
      <c r="C162" t="s">
        <v>11</v>
      </c>
      <c r="D162" t="s">
        <v>18</v>
      </c>
      <c r="E162" t="s">
        <v>23</v>
      </c>
      <c r="F162" t="s">
        <v>124</v>
      </c>
      <c r="G162" s="3">
        <v>9.02</v>
      </c>
      <c r="H162" t="s">
        <v>30</v>
      </c>
      <c r="I162" t="s">
        <v>26</v>
      </c>
      <c r="J162" s="3">
        <v>112923.22</v>
      </c>
    </row>
    <row r="163" spans="1:10" x14ac:dyDescent="0.3">
      <c r="A163" t="s">
        <v>235</v>
      </c>
      <c r="B163" s="2">
        <v>45957</v>
      </c>
      <c r="C163" t="s">
        <v>11</v>
      </c>
      <c r="D163" t="s">
        <v>18</v>
      </c>
      <c r="E163" t="s">
        <v>47</v>
      </c>
      <c r="F163" t="s">
        <v>69</v>
      </c>
      <c r="G163" s="3">
        <v>52.39</v>
      </c>
      <c r="H163" t="s">
        <v>34</v>
      </c>
      <c r="I163" t="s">
        <v>26</v>
      </c>
      <c r="J163" s="3">
        <v>112870.83</v>
      </c>
    </row>
    <row r="164" spans="1:10" x14ac:dyDescent="0.3">
      <c r="A164" t="s">
        <v>236</v>
      </c>
      <c r="B164" s="2">
        <v>45958</v>
      </c>
      <c r="C164" t="s">
        <v>11</v>
      </c>
      <c r="D164" t="s">
        <v>12</v>
      </c>
      <c r="E164" t="s">
        <v>108</v>
      </c>
      <c r="F164" t="s">
        <v>127</v>
      </c>
      <c r="G164" s="3">
        <v>630.09</v>
      </c>
      <c r="H164" t="s">
        <v>110</v>
      </c>
      <c r="I164" t="s">
        <v>26</v>
      </c>
      <c r="J164" s="3">
        <v>113500.92</v>
      </c>
    </row>
    <row r="165" spans="1:10" x14ac:dyDescent="0.3">
      <c r="A165" t="s">
        <v>237</v>
      </c>
      <c r="B165" s="2">
        <v>45958</v>
      </c>
      <c r="C165" t="s">
        <v>11</v>
      </c>
      <c r="D165" t="s">
        <v>18</v>
      </c>
      <c r="E165" t="s">
        <v>47</v>
      </c>
      <c r="F165" t="s">
        <v>91</v>
      </c>
      <c r="G165" s="3">
        <v>48.48</v>
      </c>
      <c r="H165" t="s">
        <v>25</v>
      </c>
      <c r="I165" t="s">
        <v>26</v>
      </c>
      <c r="J165" s="3">
        <v>113452.44</v>
      </c>
    </row>
    <row r="166" spans="1:10" x14ac:dyDescent="0.3">
      <c r="A166" t="s">
        <v>238</v>
      </c>
      <c r="B166" s="2">
        <v>45959</v>
      </c>
      <c r="C166" t="s">
        <v>36</v>
      </c>
      <c r="D166" t="s">
        <v>18</v>
      </c>
      <c r="E166" t="s">
        <v>39</v>
      </c>
      <c r="F166" t="s">
        <v>40</v>
      </c>
      <c r="G166" s="3">
        <v>81.95</v>
      </c>
      <c r="H166" t="s">
        <v>34</v>
      </c>
      <c r="I166" t="s">
        <v>26</v>
      </c>
      <c r="J166" s="3">
        <v>113370.49</v>
      </c>
    </row>
    <row r="167" spans="1:10" x14ac:dyDescent="0.3">
      <c r="A167" t="s">
        <v>239</v>
      </c>
      <c r="B167" s="2">
        <v>45960</v>
      </c>
      <c r="C167" t="s">
        <v>11</v>
      </c>
      <c r="D167" t="s">
        <v>18</v>
      </c>
      <c r="E167" t="s">
        <v>28</v>
      </c>
      <c r="F167" t="s">
        <v>79</v>
      </c>
      <c r="G167" s="3">
        <v>66.55</v>
      </c>
      <c r="H167" t="s">
        <v>30</v>
      </c>
      <c r="I167" t="s">
        <v>26</v>
      </c>
      <c r="J167" s="3">
        <v>113303.94</v>
      </c>
    </row>
    <row r="168" spans="1:10" x14ac:dyDescent="0.3">
      <c r="A168" t="s">
        <v>240</v>
      </c>
      <c r="B168" s="2">
        <v>45961</v>
      </c>
      <c r="C168" t="s">
        <v>36</v>
      </c>
      <c r="D168" t="s">
        <v>18</v>
      </c>
      <c r="E168" t="s">
        <v>23</v>
      </c>
      <c r="F168" t="s">
        <v>54</v>
      </c>
      <c r="G168" s="3">
        <v>10.220000000000001</v>
      </c>
      <c r="H168" t="s">
        <v>34</v>
      </c>
      <c r="I168" t="s">
        <v>26</v>
      </c>
      <c r="J168" s="3">
        <v>113293.72</v>
      </c>
    </row>
    <row r="169" spans="1:10" x14ac:dyDescent="0.3">
      <c r="A169" t="s">
        <v>241</v>
      </c>
      <c r="B169" s="2">
        <v>45962</v>
      </c>
      <c r="C169" t="s">
        <v>11</v>
      </c>
      <c r="D169" t="s">
        <v>18</v>
      </c>
      <c r="E169" t="s">
        <v>19</v>
      </c>
      <c r="F169" t="s">
        <v>20</v>
      </c>
      <c r="G169" s="3">
        <v>1655.46</v>
      </c>
      <c r="H169" t="s">
        <v>21</v>
      </c>
      <c r="I169" t="s">
        <v>16</v>
      </c>
      <c r="J169" s="3">
        <v>111638.26</v>
      </c>
    </row>
    <row r="170" spans="1:10" x14ac:dyDescent="0.3">
      <c r="A170" t="s">
        <v>242</v>
      </c>
      <c r="B170" s="2">
        <v>45962</v>
      </c>
      <c r="C170" t="s">
        <v>36</v>
      </c>
      <c r="D170" t="s">
        <v>18</v>
      </c>
      <c r="E170" t="s">
        <v>28</v>
      </c>
      <c r="F170" t="s">
        <v>114</v>
      </c>
      <c r="G170" s="3">
        <v>73.63</v>
      </c>
      <c r="H170" t="s">
        <v>30</v>
      </c>
      <c r="I170" t="s">
        <v>26</v>
      </c>
      <c r="J170" s="3">
        <v>111564.63</v>
      </c>
    </row>
    <row r="171" spans="1:10" x14ac:dyDescent="0.3">
      <c r="A171" t="s">
        <v>243</v>
      </c>
      <c r="B171" s="2">
        <v>45963</v>
      </c>
      <c r="C171" t="s">
        <v>11</v>
      </c>
      <c r="D171" t="s">
        <v>18</v>
      </c>
      <c r="E171" t="s">
        <v>28</v>
      </c>
      <c r="F171" t="s">
        <v>74</v>
      </c>
      <c r="G171" s="3">
        <v>131.76</v>
      </c>
      <c r="H171" t="s">
        <v>30</v>
      </c>
      <c r="I171" t="s">
        <v>26</v>
      </c>
      <c r="J171" s="3">
        <v>111432.87</v>
      </c>
    </row>
    <row r="172" spans="1:10" x14ac:dyDescent="0.3">
      <c r="A172" t="s">
        <v>244</v>
      </c>
      <c r="B172" s="2">
        <v>45963</v>
      </c>
      <c r="C172" t="s">
        <v>11</v>
      </c>
      <c r="D172" t="s">
        <v>18</v>
      </c>
      <c r="E172" t="s">
        <v>47</v>
      </c>
      <c r="F172" t="s">
        <v>60</v>
      </c>
      <c r="G172" s="3">
        <v>33.78</v>
      </c>
      <c r="H172" t="s">
        <v>30</v>
      </c>
      <c r="I172" t="s">
        <v>26</v>
      </c>
      <c r="J172" s="3">
        <v>111399.09</v>
      </c>
    </row>
    <row r="173" spans="1:10" x14ac:dyDescent="0.3">
      <c r="A173" t="s">
        <v>245</v>
      </c>
      <c r="B173" s="2">
        <v>45964</v>
      </c>
      <c r="C173" t="s">
        <v>36</v>
      </c>
      <c r="D173" t="s">
        <v>18</v>
      </c>
      <c r="E173" t="s">
        <v>28</v>
      </c>
      <c r="F173" t="s">
        <v>79</v>
      </c>
      <c r="G173" s="3">
        <v>27.36</v>
      </c>
      <c r="H173" t="s">
        <v>30</v>
      </c>
      <c r="I173" t="s">
        <v>26</v>
      </c>
      <c r="J173" s="3">
        <v>111371.73</v>
      </c>
    </row>
    <row r="174" spans="1:10" x14ac:dyDescent="0.3">
      <c r="A174" t="s">
        <v>246</v>
      </c>
      <c r="B174" s="2">
        <v>45964</v>
      </c>
      <c r="C174" t="s">
        <v>11</v>
      </c>
      <c r="D174" t="s">
        <v>18</v>
      </c>
      <c r="E174" t="s">
        <v>47</v>
      </c>
      <c r="F174" t="s">
        <v>60</v>
      </c>
      <c r="G174" s="3">
        <v>26.53</v>
      </c>
      <c r="H174" t="s">
        <v>25</v>
      </c>
      <c r="I174" t="s">
        <v>26</v>
      </c>
      <c r="J174" s="3">
        <v>111345.2</v>
      </c>
    </row>
    <row r="175" spans="1:10" x14ac:dyDescent="0.3">
      <c r="A175" t="s">
        <v>247</v>
      </c>
      <c r="B175" s="2">
        <v>45966</v>
      </c>
      <c r="C175" t="s">
        <v>36</v>
      </c>
      <c r="D175" t="s">
        <v>18</v>
      </c>
      <c r="E175" t="s">
        <v>28</v>
      </c>
      <c r="F175" t="s">
        <v>74</v>
      </c>
      <c r="G175" s="3">
        <v>150.72999999999999</v>
      </c>
      <c r="H175" t="s">
        <v>34</v>
      </c>
      <c r="I175" t="s">
        <v>26</v>
      </c>
      <c r="J175" s="3">
        <v>111194.47</v>
      </c>
    </row>
    <row r="176" spans="1:10" x14ac:dyDescent="0.3">
      <c r="A176" t="s">
        <v>248</v>
      </c>
      <c r="B176" s="2">
        <v>45966</v>
      </c>
      <c r="C176" t="s">
        <v>11</v>
      </c>
      <c r="D176" t="s">
        <v>18</v>
      </c>
      <c r="E176" t="s">
        <v>23</v>
      </c>
      <c r="F176" t="s">
        <v>135</v>
      </c>
      <c r="G176" s="3">
        <v>83.19</v>
      </c>
      <c r="H176" t="s">
        <v>25</v>
      </c>
      <c r="I176" t="s">
        <v>26</v>
      </c>
      <c r="J176" s="3">
        <v>111111.28</v>
      </c>
    </row>
    <row r="177" spans="1:10" x14ac:dyDescent="0.3">
      <c r="A177" t="s">
        <v>249</v>
      </c>
      <c r="B177" s="2">
        <v>45966</v>
      </c>
      <c r="C177" t="s">
        <v>11</v>
      </c>
      <c r="D177" t="s">
        <v>18</v>
      </c>
      <c r="E177" t="s">
        <v>47</v>
      </c>
      <c r="F177" t="s">
        <v>56</v>
      </c>
      <c r="G177" s="3">
        <v>56.78</v>
      </c>
      <c r="H177" t="s">
        <v>34</v>
      </c>
      <c r="I177" t="s">
        <v>26</v>
      </c>
      <c r="J177" s="3">
        <v>111054.5</v>
      </c>
    </row>
    <row r="178" spans="1:10" x14ac:dyDescent="0.3">
      <c r="A178" t="s">
        <v>250</v>
      </c>
      <c r="B178" s="2">
        <v>45967</v>
      </c>
      <c r="C178" t="s">
        <v>11</v>
      </c>
      <c r="D178" t="s">
        <v>18</v>
      </c>
      <c r="E178" t="s">
        <v>39</v>
      </c>
      <c r="F178" t="s">
        <v>186</v>
      </c>
      <c r="G178" s="3">
        <v>79.099999999999994</v>
      </c>
      <c r="H178" t="s">
        <v>30</v>
      </c>
      <c r="I178" t="s">
        <v>26</v>
      </c>
      <c r="J178" s="3">
        <v>110975.4</v>
      </c>
    </row>
    <row r="179" spans="1:10" x14ac:dyDescent="0.3">
      <c r="A179" t="s">
        <v>251</v>
      </c>
      <c r="B179" s="2">
        <v>45968</v>
      </c>
      <c r="C179" t="s">
        <v>11</v>
      </c>
      <c r="D179" t="s">
        <v>18</v>
      </c>
      <c r="E179" t="s">
        <v>28</v>
      </c>
      <c r="F179" t="s">
        <v>52</v>
      </c>
      <c r="G179" s="3">
        <v>157.57</v>
      </c>
      <c r="H179" t="s">
        <v>30</v>
      </c>
      <c r="I179" t="s">
        <v>26</v>
      </c>
      <c r="J179" s="3">
        <v>110817.83</v>
      </c>
    </row>
    <row r="180" spans="1:10" x14ac:dyDescent="0.3">
      <c r="A180" t="s">
        <v>252</v>
      </c>
      <c r="B180" s="2">
        <v>45968</v>
      </c>
      <c r="C180" t="s">
        <v>11</v>
      </c>
      <c r="D180" t="s">
        <v>18</v>
      </c>
      <c r="E180" t="s">
        <v>47</v>
      </c>
      <c r="F180" t="s">
        <v>106</v>
      </c>
      <c r="G180" s="3">
        <v>48.07</v>
      </c>
      <c r="H180" t="s">
        <v>34</v>
      </c>
      <c r="I180" t="s">
        <v>26</v>
      </c>
      <c r="J180" s="3">
        <v>110769.76</v>
      </c>
    </row>
    <row r="181" spans="1:10" x14ac:dyDescent="0.3">
      <c r="A181" t="s">
        <v>253</v>
      </c>
      <c r="B181" s="2">
        <v>45969</v>
      </c>
      <c r="C181" t="s">
        <v>11</v>
      </c>
      <c r="D181" t="s">
        <v>18</v>
      </c>
      <c r="E181" t="s">
        <v>43</v>
      </c>
      <c r="F181" t="s">
        <v>50</v>
      </c>
      <c r="G181" s="3">
        <v>194.49</v>
      </c>
      <c r="H181" t="s">
        <v>21</v>
      </c>
      <c r="I181" t="s">
        <v>16</v>
      </c>
      <c r="J181" s="3">
        <v>110575.27</v>
      </c>
    </row>
    <row r="182" spans="1:10" x14ac:dyDescent="0.3">
      <c r="A182" t="s">
        <v>254</v>
      </c>
      <c r="B182" s="2">
        <v>45969</v>
      </c>
      <c r="C182" t="s">
        <v>11</v>
      </c>
      <c r="D182" t="s">
        <v>18</v>
      </c>
      <c r="E182" t="s">
        <v>28</v>
      </c>
      <c r="F182" t="s">
        <v>117</v>
      </c>
      <c r="G182" s="3">
        <v>111.82</v>
      </c>
      <c r="H182" t="s">
        <v>30</v>
      </c>
      <c r="I182" t="s">
        <v>26</v>
      </c>
      <c r="J182" s="3">
        <v>110463.45</v>
      </c>
    </row>
    <row r="183" spans="1:10" x14ac:dyDescent="0.3">
      <c r="A183" t="s">
        <v>255</v>
      </c>
      <c r="B183" s="2">
        <v>45969</v>
      </c>
      <c r="C183" t="s">
        <v>36</v>
      </c>
      <c r="D183" t="s">
        <v>18</v>
      </c>
      <c r="E183" t="s">
        <v>47</v>
      </c>
      <c r="F183" t="s">
        <v>106</v>
      </c>
      <c r="G183" s="3">
        <v>16.97</v>
      </c>
      <c r="H183" t="s">
        <v>25</v>
      </c>
      <c r="I183" t="s">
        <v>26</v>
      </c>
      <c r="J183" s="3">
        <v>110446.48</v>
      </c>
    </row>
    <row r="184" spans="1:10" x14ac:dyDescent="0.3">
      <c r="A184" t="s">
        <v>256</v>
      </c>
      <c r="B184" s="2">
        <v>45970</v>
      </c>
      <c r="C184" t="s">
        <v>11</v>
      </c>
      <c r="D184" t="s">
        <v>18</v>
      </c>
      <c r="E184" t="s">
        <v>43</v>
      </c>
      <c r="F184" t="s">
        <v>50</v>
      </c>
      <c r="G184" s="3">
        <v>246.76</v>
      </c>
      <c r="H184" t="s">
        <v>21</v>
      </c>
      <c r="I184" t="s">
        <v>16</v>
      </c>
      <c r="J184" s="3">
        <v>110199.72</v>
      </c>
    </row>
    <row r="185" spans="1:10" x14ac:dyDescent="0.3">
      <c r="A185" t="s">
        <v>257</v>
      </c>
      <c r="B185" s="2">
        <v>45970</v>
      </c>
      <c r="C185" t="s">
        <v>36</v>
      </c>
      <c r="D185" t="s">
        <v>18</v>
      </c>
      <c r="E185" t="s">
        <v>23</v>
      </c>
      <c r="F185" t="s">
        <v>24</v>
      </c>
      <c r="G185" s="3">
        <v>16.41</v>
      </c>
      <c r="H185" t="s">
        <v>25</v>
      </c>
      <c r="I185" t="s">
        <v>26</v>
      </c>
      <c r="J185" s="3">
        <v>110183.31</v>
      </c>
    </row>
    <row r="186" spans="1:10" x14ac:dyDescent="0.3">
      <c r="A186" t="s">
        <v>258</v>
      </c>
      <c r="B186" s="2">
        <v>45971</v>
      </c>
      <c r="C186" t="s">
        <v>36</v>
      </c>
      <c r="D186" t="s">
        <v>18</v>
      </c>
      <c r="E186" t="s">
        <v>47</v>
      </c>
      <c r="F186" t="s">
        <v>91</v>
      </c>
      <c r="G186" s="3">
        <v>5.07</v>
      </c>
      <c r="H186" t="s">
        <v>30</v>
      </c>
      <c r="I186" t="s">
        <v>26</v>
      </c>
      <c r="J186" s="3">
        <v>110178.24000000001</v>
      </c>
    </row>
    <row r="187" spans="1:10" x14ac:dyDescent="0.3">
      <c r="A187" t="s">
        <v>259</v>
      </c>
      <c r="B187" s="2">
        <v>45972</v>
      </c>
      <c r="C187" t="s">
        <v>11</v>
      </c>
      <c r="D187" t="s">
        <v>18</v>
      </c>
      <c r="E187" t="s">
        <v>47</v>
      </c>
      <c r="F187" t="s">
        <v>69</v>
      </c>
      <c r="G187" s="3">
        <v>42.89</v>
      </c>
      <c r="H187" t="s">
        <v>30</v>
      </c>
      <c r="I187" t="s">
        <v>26</v>
      </c>
      <c r="J187" s="3">
        <v>110135.35</v>
      </c>
    </row>
    <row r="188" spans="1:10" x14ac:dyDescent="0.3">
      <c r="A188" t="s">
        <v>260</v>
      </c>
      <c r="B188" s="2">
        <v>45974</v>
      </c>
      <c r="C188" t="s">
        <v>11</v>
      </c>
      <c r="D188" t="s">
        <v>18</v>
      </c>
      <c r="E188" t="s">
        <v>23</v>
      </c>
      <c r="F188" t="s">
        <v>24</v>
      </c>
      <c r="G188" s="3">
        <v>69.47</v>
      </c>
      <c r="H188" t="s">
        <v>34</v>
      </c>
      <c r="I188" t="s">
        <v>26</v>
      </c>
      <c r="J188" s="3">
        <v>110065.88</v>
      </c>
    </row>
    <row r="189" spans="1:10" x14ac:dyDescent="0.3">
      <c r="A189" t="s">
        <v>261</v>
      </c>
      <c r="B189" s="2">
        <v>45975</v>
      </c>
      <c r="C189" t="s">
        <v>11</v>
      </c>
      <c r="D189" t="s">
        <v>18</v>
      </c>
      <c r="E189" t="s">
        <v>23</v>
      </c>
      <c r="F189" t="s">
        <v>135</v>
      </c>
      <c r="G189" s="3">
        <v>76.41</v>
      </c>
      <c r="H189" t="s">
        <v>30</v>
      </c>
      <c r="I189" t="s">
        <v>26</v>
      </c>
      <c r="J189" s="3">
        <v>109989.47</v>
      </c>
    </row>
    <row r="190" spans="1:10" x14ac:dyDescent="0.3">
      <c r="A190" t="s">
        <v>262</v>
      </c>
      <c r="B190" s="2">
        <v>45976</v>
      </c>
      <c r="C190" t="s">
        <v>11</v>
      </c>
      <c r="D190" t="s">
        <v>12</v>
      </c>
      <c r="E190" t="s">
        <v>13</v>
      </c>
      <c r="F190" t="s">
        <v>14</v>
      </c>
      <c r="G190" s="3">
        <v>5218.3999999999996</v>
      </c>
      <c r="H190" t="s">
        <v>15</v>
      </c>
      <c r="I190" t="s">
        <v>16</v>
      </c>
      <c r="J190" s="3">
        <v>115207.87</v>
      </c>
    </row>
    <row r="191" spans="1:10" x14ac:dyDescent="0.3">
      <c r="A191" t="s">
        <v>263</v>
      </c>
      <c r="B191" s="2">
        <v>45976</v>
      </c>
      <c r="C191" t="s">
        <v>36</v>
      </c>
      <c r="D191" t="s">
        <v>18</v>
      </c>
      <c r="E191" t="s">
        <v>23</v>
      </c>
      <c r="F191" t="s">
        <v>76</v>
      </c>
      <c r="G191" s="3">
        <v>16.350000000000001</v>
      </c>
      <c r="H191" t="s">
        <v>30</v>
      </c>
      <c r="I191" t="s">
        <v>26</v>
      </c>
      <c r="J191" s="3">
        <v>115191.52</v>
      </c>
    </row>
    <row r="192" spans="1:10" x14ac:dyDescent="0.3">
      <c r="A192" t="s">
        <v>264</v>
      </c>
      <c r="B192" s="2">
        <v>45978</v>
      </c>
      <c r="C192" t="s">
        <v>36</v>
      </c>
      <c r="D192" t="s">
        <v>18</v>
      </c>
      <c r="E192" t="s">
        <v>28</v>
      </c>
      <c r="F192" t="s">
        <v>79</v>
      </c>
      <c r="G192" s="3">
        <v>71.39</v>
      </c>
      <c r="H192" t="s">
        <v>34</v>
      </c>
      <c r="I192" t="s">
        <v>26</v>
      </c>
      <c r="J192" s="3">
        <v>115120.13</v>
      </c>
    </row>
    <row r="193" spans="1:10" x14ac:dyDescent="0.3">
      <c r="A193" t="s">
        <v>265</v>
      </c>
      <c r="B193" s="2">
        <v>45981</v>
      </c>
      <c r="C193" t="s">
        <v>11</v>
      </c>
      <c r="D193" t="s">
        <v>18</v>
      </c>
      <c r="E193" t="s">
        <v>23</v>
      </c>
      <c r="F193" t="s">
        <v>54</v>
      </c>
      <c r="G193" s="3">
        <v>75.900000000000006</v>
      </c>
      <c r="H193" t="s">
        <v>34</v>
      </c>
      <c r="I193" t="s">
        <v>26</v>
      </c>
      <c r="J193" s="3">
        <v>115044.23</v>
      </c>
    </row>
    <row r="194" spans="1:10" x14ac:dyDescent="0.3">
      <c r="A194" t="s">
        <v>266</v>
      </c>
      <c r="B194" s="2">
        <v>45981</v>
      </c>
      <c r="C194" t="s">
        <v>36</v>
      </c>
      <c r="D194" t="s">
        <v>18</v>
      </c>
      <c r="E194" t="s">
        <v>47</v>
      </c>
      <c r="F194" t="s">
        <v>106</v>
      </c>
      <c r="G194" s="3">
        <v>18.420000000000002</v>
      </c>
      <c r="H194" t="s">
        <v>30</v>
      </c>
      <c r="I194" t="s">
        <v>26</v>
      </c>
      <c r="J194" s="3">
        <v>115025.81</v>
      </c>
    </row>
    <row r="195" spans="1:10" x14ac:dyDescent="0.3">
      <c r="A195" t="s">
        <v>267</v>
      </c>
      <c r="B195" s="2">
        <v>45982</v>
      </c>
      <c r="C195" t="s">
        <v>36</v>
      </c>
      <c r="D195" t="s">
        <v>18</v>
      </c>
      <c r="E195" t="s">
        <v>23</v>
      </c>
      <c r="F195" t="s">
        <v>24</v>
      </c>
      <c r="G195" s="3">
        <v>29.88</v>
      </c>
      <c r="H195" t="s">
        <v>34</v>
      </c>
      <c r="I195" t="s">
        <v>26</v>
      </c>
      <c r="J195" s="3">
        <v>114995.93</v>
      </c>
    </row>
    <row r="196" spans="1:10" x14ac:dyDescent="0.3">
      <c r="A196" t="s">
        <v>268</v>
      </c>
      <c r="B196" s="2">
        <v>45983</v>
      </c>
      <c r="C196" t="s">
        <v>36</v>
      </c>
      <c r="D196" t="s">
        <v>18</v>
      </c>
      <c r="E196" t="s">
        <v>28</v>
      </c>
      <c r="F196" t="s">
        <v>52</v>
      </c>
      <c r="G196" s="3">
        <v>163.68</v>
      </c>
      <c r="H196" t="s">
        <v>34</v>
      </c>
      <c r="I196" t="s">
        <v>26</v>
      </c>
      <c r="J196" s="3">
        <v>114832.25</v>
      </c>
    </row>
    <row r="197" spans="1:10" x14ac:dyDescent="0.3">
      <c r="A197" t="s">
        <v>269</v>
      </c>
      <c r="B197" s="2">
        <v>45983</v>
      </c>
      <c r="C197" t="s">
        <v>11</v>
      </c>
      <c r="D197" t="s">
        <v>18</v>
      </c>
      <c r="E197" t="s">
        <v>23</v>
      </c>
      <c r="F197" t="s">
        <v>98</v>
      </c>
      <c r="G197" s="3">
        <v>10.41</v>
      </c>
      <c r="H197" t="s">
        <v>30</v>
      </c>
      <c r="I197" t="s">
        <v>26</v>
      </c>
      <c r="J197" s="3">
        <v>114821.84</v>
      </c>
    </row>
    <row r="198" spans="1:10" x14ac:dyDescent="0.3">
      <c r="A198" t="s">
        <v>270</v>
      </c>
      <c r="B198" s="2">
        <v>45984</v>
      </c>
      <c r="C198" t="s">
        <v>36</v>
      </c>
      <c r="D198" t="s">
        <v>18</v>
      </c>
      <c r="E198" t="s">
        <v>28</v>
      </c>
      <c r="F198" t="s">
        <v>29</v>
      </c>
      <c r="G198" s="3">
        <v>78.319999999999993</v>
      </c>
      <c r="H198" t="s">
        <v>34</v>
      </c>
      <c r="I198" t="s">
        <v>26</v>
      </c>
      <c r="J198" s="3">
        <v>114743.52</v>
      </c>
    </row>
    <row r="199" spans="1:10" x14ac:dyDescent="0.3">
      <c r="A199" t="s">
        <v>271</v>
      </c>
      <c r="B199" s="2">
        <v>45984</v>
      </c>
      <c r="C199" t="s">
        <v>11</v>
      </c>
      <c r="D199" t="s">
        <v>18</v>
      </c>
      <c r="E199" t="s">
        <v>23</v>
      </c>
      <c r="F199" t="s">
        <v>54</v>
      </c>
      <c r="G199" s="3">
        <v>15.43</v>
      </c>
      <c r="H199" t="s">
        <v>30</v>
      </c>
      <c r="I199" t="s">
        <v>26</v>
      </c>
      <c r="J199" s="3">
        <v>114728.09</v>
      </c>
    </row>
    <row r="200" spans="1:10" x14ac:dyDescent="0.3">
      <c r="A200" t="s">
        <v>272</v>
      </c>
      <c r="B200" s="2">
        <v>45985</v>
      </c>
      <c r="C200" t="s">
        <v>11</v>
      </c>
      <c r="D200" t="s">
        <v>18</v>
      </c>
      <c r="E200" t="s">
        <v>47</v>
      </c>
      <c r="F200" t="s">
        <v>56</v>
      </c>
      <c r="G200" s="3">
        <v>46.35</v>
      </c>
      <c r="H200" t="s">
        <v>34</v>
      </c>
      <c r="I200" t="s">
        <v>26</v>
      </c>
      <c r="J200" s="3">
        <v>114681.74</v>
      </c>
    </row>
    <row r="201" spans="1:10" x14ac:dyDescent="0.3">
      <c r="A201" t="s">
        <v>273</v>
      </c>
      <c r="B201" s="2">
        <v>45988</v>
      </c>
      <c r="C201" t="s">
        <v>36</v>
      </c>
      <c r="D201" t="s">
        <v>18</v>
      </c>
      <c r="E201" t="s">
        <v>28</v>
      </c>
      <c r="F201" t="s">
        <v>52</v>
      </c>
      <c r="G201" s="3">
        <v>72.319999999999993</v>
      </c>
      <c r="H201" t="s">
        <v>30</v>
      </c>
      <c r="I201" t="s">
        <v>26</v>
      </c>
      <c r="J201" s="3">
        <v>114609.42</v>
      </c>
    </row>
    <row r="202" spans="1:10" x14ac:dyDescent="0.3">
      <c r="A202" t="s">
        <v>274</v>
      </c>
      <c r="B202" s="2">
        <v>45989</v>
      </c>
      <c r="C202" t="s">
        <v>36</v>
      </c>
      <c r="D202" t="s">
        <v>18</v>
      </c>
      <c r="E202" t="s">
        <v>28</v>
      </c>
      <c r="F202" t="s">
        <v>114</v>
      </c>
      <c r="G202" s="3">
        <v>150.13999999999999</v>
      </c>
      <c r="H202" t="s">
        <v>30</v>
      </c>
      <c r="I202" t="s">
        <v>26</v>
      </c>
      <c r="J202" s="3">
        <v>114459.28</v>
      </c>
    </row>
    <row r="203" spans="1:10" x14ac:dyDescent="0.3">
      <c r="A203" t="s">
        <v>275</v>
      </c>
      <c r="B203" s="2">
        <v>45989</v>
      </c>
      <c r="C203" t="s">
        <v>36</v>
      </c>
      <c r="D203" t="s">
        <v>18</v>
      </c>
      <c r="E203" t="s">
        <v>23</v>
      </c>
      <c r="F203" t="s">
        <v>54</v>
      </c>
      <c r="G203" s="3">
        <v>51.33</v>
      </c>
      <c r="H203" t="s">
        <v>30</v>
      </c>
      <c r="I203" t="s">
        <v>26</v>
      </c>
      <c r="J203" s="3">
        <v>114407.95</v>
      </c>
    </row>
    <row r="204" spans="1:10" x14ac:dyDescent="0.3">
      <c r="A204" t="s">
        <v>276</v>
      </c>
      <c r="B204" s="2">
        <v>45989</v>
      </c>
      <c r="C204" t="s">
        <v>11</v>
      </c>
      <c r="D204" t="s">
        <v>18</v>
      </c>
      <c r="E204" t="s">
        <v>39</v>
      </c>
      <c r="F204" t="s">
        <v>40</v>
      </c>
      <c r="G204" s="3">
        <v>19.28</v>
      </c>
      <c r="H204" t="s">
        <v>34</v>
      </c>
      <c r="I204" t="s">
        <v>26</v>
      </c>
      <c r="J204" s="3">
        <v>114388.67</v>
      </c>
    </row>
    <row r="205" spans="1:10" x14ac:dyDescent="0.3">
      <c r="A205" t="s">
        <v>277</v>
      </c>
      <c r="B205" s="2">
        <v>45990</v>
      </c>
      <c r="C205" t="s">
        <v>11</v>
      </c>
      <c r="D205" t="s">
        <v>18</v>
      </c>
      <c r="E205" t="s">
        <v>39</v>
      </c>
      <c r="F205" t="s">
        <v>170</v>
      </c>
      <c r="G205" s="3">
        <v>70.52</v>
      </c>
      <c r="H205" t="s">
        <v>30</v>
      </c>
      <c r="I205" t="s">
        <v>26</v>
      </c>
      <c r="J205" s="3">
        <v>114318.15</v>
      </c>
    </row>
    <row r="206" spans="1:10" x14ac:dyDescent="0.3">
      <c r="A206" t="s">
        <v>278</v>
      </c>
      <c r="B206" s="2">
        <v>45991</v>
      </c>
      <c r="C206" t="s">
        <v>11</v>
      </c>
      <c r="D206" t="s">
        <v>18</v>
      </c>
      <c r="E206" t="s">
        <v>23</v>
      </c>
      <c r="F206" t="s">
        <v>87</v>
      </c>
      <c r="G206" s="3">
        <v>65.09</v>
      </c>
      <c r="H206" t="s">
        <v>34</v>
      </c>
      <c r="I206" t="s">
        <v>26</v>
      </c>
      <c r="J206" s="3">
        <v>114253.06</v>
      </c>
    </row>
    <row r="207" spans="1:10" x14ac:dyDescent="0.3">
      <c r="A207" t="s">
        <v>279</v>
      </c>
      <c r="B207" s="2">
        <v>45991</v>
      </c>
      <c r="C207" t="s">
        <v>36</v>
      </c>
      <c r="D207" t="s">
        <v>18</v>
      </c>
      <c r="E207" t="s">
        <v>47</v>
      </c>
      <c r="F207" t="s">
        <v>91</v>
      </c>
      <c r="G207" s="3">
        <v>37.26</v>
      </c>
      <c r="H207" t="s">
        <v>34</v>
      </c>
      <c r="I207" t="s">
        <v>26</v>
      </c>
      <c r="J207" s="3">
        <v>114215.8</v>
      </c>
    </row>
    <row r="208" spans="1:10" x14ac:dyDescent="0.3">
      <c r="A208" t="s">
        <v>280</v>
      </c>
      <c r="B208" s="2">
        <v>45992</v>
      </c>
      <c r="C208" t="s">
        <v>11</v>
      </c>
      <c r="D208" t="s">
        <v>12</v>
      </c>
      <c r="E208" t="s">
        <v>13</v>
      </c>
      <c r="F208" t="s">
        <v>221</v>
      </c>
      <c r="G208" s="3">
        <v>4007.26</v>
      </c>
      <c r="H208" t="s">
        <v>15</v>
      </c>
      <c r="I208" t="s">
        <v>16</v>
      </c>
      <c r="J208" s="3">
        <v>118223.06</v>
      </c>
    </row>
    <row r="209" spans="1:10" x14ac:dyDescent="0.3">
      <c r="A209" t="s">
        <v>281</v>
      </c>
      <c r="B209" s="2">
        <v>45992</v>
      </c>
      <c r="C209" t="s">
        <v>36</v>
      </c>
      <c r="D209" t="s">
        <v>18</v>
      </c>
      <c r="E209" t="s">
        <v>23</v>
      </c>
      <c r="F209" t="s">
        <v>37</v>
      </c>
      <c r="G209" s="3">
        <v>20.87</v>
      </c>
      <c r="H209" t="s">
        <v>34</v>
      </c>
      <c r="I209" t="s">
        <v>26</v>
      </c>
      <c r="J209" s="3">
        <v>118202.19</v>
      </c>
    </row>
    <row r="210" spans="1:10" x14ac:dyDescent="0.3">
      <c r="A210" t="s">
        <v>282</v>
      </c>
      <c r="B210" s="2">
        <v>45993</v>
      </c>
      <c r="C210" t="s">
        <v>11</v>
      </c>
      <c r="D210" t="s">
        <v>18</v>
      </c>
      <c r="E210" t="s">
        <v>28</v>
      </c>
      <c r="F210" t="s">
        <v>52</v>
      </c>
      <c r="G210" s="3">
        <v>31.54</v>
      </c>
      <c r="H210" t="s">
        <v>30</v>
      </c>
      <c r="I210" t="s">
        <v>26</v>
      </c>
      <c r="J210" s="3">
        <v>118170.65</v>
      </c>
    </row>
    <row r="211" spans="1:10" x14ac:dyDescent="0.3">
      <c r="A211" t="s">
        <v>283</v>
      </c>
      <c r="B211" s="2">
        <v>45993</v>
      </c>
      <c r="C211" t="s">
        <v>36</v>
      </c>
      <c r="D211" t="s">
        <v>18</v>
      </c>
      <c r="E211" t="s">
        <v>47</v>
      </c>
      <c r="F211" t="s">
        <v>82</v>
      </c>
      <c r="G211" s="3">
        <v>18.53</v>
      </c>
      <c r="H211" t="s">
        <v>34</v>
      </c>
      <c r="I211" t="s">
        <v>26</v>
      </c>
      <c r="J211" s="3">
        <v>118152.12</v>
      </c>
    </row>
    <row r="212" spans="1:10" x14ac:dyDescent="0.3">
      <c r="A212" t="s">
        <v>284</v>
      </c>
      <c r="B212" s="2">
        <v>45994</v>
      </c>
      <c r="C212" t="s">
        <v>11</v>
      </c>
      <c r="D212" t="s">
        <v>18</v>
      </c>
      <c r="E212" t="s">
        <v>23</v>
      </c>
      <c r="F212" t="s">
        <v>37</v>
      </c>
      <c r="G212" s="3">
        <v>71.77</v>
      </c>
      <c r="H212" t="s">
        <v>30</v>
      </c>
      <c r="I212" t="s">
        <v>26</v>
      </c>
      <c r="J212" s="3">
        <v>118080.35</v>
      </c>
    </row>
    <row r="213" spans="1:10" x14ac:dyDescent="0.3">
      <c r="A213" t="s">
        <v>285</v>
      </c>
      <c r="B213" s="2">
        <v>45995</v>
      </c>
      <c r="C213" t="s">
        <v>11</v>
      </c>
      <c r="D213" t="s">
        <v>18</v>
      </c>
      <c r="E213" t="s">
        <v>28</v>
      </c>
      <c r="F213" t="s">
        <v>52</v>
      </c>
      <c r="G213" s="3">
        <v>24.88</v>
      </c>
      <c r="H213" t="s">
        <v>30</v>
      </c>
      <c r="I213" t="s">
        <v>26</v>
      </c>
      <c r="J213" s="3">
        <v>118055.47</v>
      </c>
    </row>
    <row r="214" spans="1:10" x14ac:dyDescent="0.3">
      <c r="A214" t="s">
        <v>286</v>
      </c>
      <c r="B214" s="2">
        <v>45995</v>
      </c>
      <c r="C214" t="s">
        <v>36</v>
      </c>
      <c r="D214" t="s">
        <v>18</v>
      </c>
      <c r="E214" t="s">
        <v>47</v>
      </c>
      <c r="F214" t="s">
        <v>48</v>
      </c>
      <c r="G214" s="3">
        <v>42</v>
      </c>
      <c r="H214" t="s">
        <v>34</v>
      </c>
      <c r="I214" t="s">
        <v>26</v>
      </c>
      <c r="J214" s="3">
        <v>118013.47</v>
      </c>
    </row>
    <row r="215" spans="1:10" x14ac:dyDescent="0.3">
      <c r="A215" t="s">
        <v>287</v>
      </c>
      <c r="B215" s="2">
        <v>45996</v>
      </c>
      <c r="C215" t="s">
        <v>11</v>
      </c>
      <c r="D215" t="s">
        <v>18</v>
      </c>
      <c r="E215" t="s">
        <v>43</v>
      </c>
      <c r="F215" t="s">
        <v>44</v>
      </c>
      <c r="G215" s="3">
        <v>157.69</v>
      </c>
      <c r="H215" t="s">
        <v>21</v>
      </c>
      <c r="I215" t="s">
        <v>16</v>
      </c>
      <c r="J215" s="3">
        <v>117855.78</v>
      </c>
    </row>
    <row r="216" spans="1:10" x14ac:dyDescent="0.3">
      <c r="A216" t="s">
        <v>288</v>
      </c>
      <c r="B216" s="2">
        <v>45996</v>
      </c>
      <c r="C216" t="s">
        <v>36</v>
      </c>
      <c r="D216" t="s">
        <v>18</v>
      </c>
      <c r="E216" t="s">
        <v>28</v>
      </c>
      <c r="F216" t="s">
        <v>58</v>
      </c>
      <c r="G216" s="3">
        <v>28.27</v>
      </c>
      <c r="H216" t="s">
        <v>34</v>
      </c>
      <c r="I216" t="s">
        <v>26</v>
      </c>
      <c r="J216" s="3">
        <v>117827.51</v>
      </c>
    </row>
    <row r="217" spans="1:10" x14ac:dyDescent="0.3">
      <c r="A217" t="s">
        <v>289</v>
      </c>
      <c r="B217" s="2">
        <v>45997</v>
      </c>
      <c r="C217" t="s">
        <v>11</v>
      </c>
      <c r="D217" t="s">
        <v>18</v>
      </c>
      <c r="E217" t="s">
        <v>43</v>
      </c>
      <c r="F217" t="s">
        <v>151</v>
      </c>
      <c r="G217" s="3">
        <v>94.73</v>
      </c>
      <c r="H217" t="s">
        <v>21</v>
      </c>
      <c r="I217" t="s">
        <v>16</v>
      </c>
      <c r="J217" s="3">
        <v>117732.78</v>
      </c>
    </row>
    <row r="218" spans="1:10" x14ac:dyDescent="0.3">
      <c r="A218" t="s">
        <v>290</v>
      </c>
      <c r="B218" s="2">
        <v>45997</v>
      </c>
      <c r="C218" t="s">
        <v>11</v>
      </c>
      <c r="D218" t="s">
        <v>18</v>
      </c>
      <c r="E218" t="s">
        <v>39</v>
      </c>
      <c r="F218" t="s">
        <v>186</v>
      </c>
      <c r="G218" s="3">
        <v>47.43</v>
      </c>
      <c r="H218" t="s">
        <v>30</v>
      </c>
      <c r="I218" t="s">
        <v>26</v>
      </c>
      <c r="J218" s="3">
        <v>117685.35</v>
      </c>
    </row>
    <row r="219" spans="1:10" x14ac:dyDescent="0.3">
      <c r="A219" t="s">
        <v>291</v>
      </c>
      <c r="B219" s="2">
        <v>45998</v>
      </c>
      <c r="C219" t="s">
        <v>11</v>
      </c>
      <c r="D219" t="s">
        <v>18</v>
      </c>
      <c r="E219" t="s">
        <v>43</v>
      </c>
      <c r="F219" t="s">
        <v>222</v>
      </c>
      <c r="G219" s="3">
        <v>155.71</v>
      </c>
      <c r="H219" t="s">
        <v>21</v>
      </c>
      <c r="I219" t="s">
        <v>16</v>
      </c>
      <c r="J219" s="3">
        <v>117529.64</v>
      </c>
    </row>
    <row r="220" spans="1:10" x14ac:dyDescent="0.3">
      <c r="A220" t="s">
        <v>292</v>
      </c>
      <c r="B220" s="2">
        <v>45998</v>
      </c>
      <c r="C220" t="s">
        <v>36</v>
      </c>
      <c r="D220" t="s">
        <v>18</v>
      </c>
      <c r="E220" t="s">
        <v>47</v>
      </c>
      <c r="F220" t="s">
        <v>106</v>
      </c>
      <c r="G220" s="3">
        <v>53.96</v>
      </c>
      <c r="H220" t="s">
        <v>34</v>
      </c>
      <c r="I220" t="s">
        <v>26</v>
      </c>
      <c r="J220" s="3">
        <v>117475.68</v>
      </c>
    </row>
    <row r="221" spans="1:10" x14ac:dyDescent="0.3">
      <c r="A221" t="s">
        <v>293</v>
      </c>
      <c r="B221" s="2">
        <v>45999</v>
      </c>
      <c r="C221" t="s">
        <v>11</v>
      </c>
      <c r="D221" t="s">
        <v>18</v>
      </c>
      <c r="E221" t="s">
        <v>47</v>
      </c>
      <c r="F221" t="s">
        <v>106</v>
      </c>
      <c r="G221" s="3">
        <v>14.9</v>
      </c>
      <c r="H221" t="s">
        <v>30</v>
      </c>
      <c r="I221" t="s">
        <v>26</v>
      </c>
      <c r="J221" s="3">
        <v>117460.78</v>
      </c>
    </row>
    <row r="222" spans="1:10" x14ac:dyDescent="0.3">
      <c r="A222" t="s">
        <v>294</v>
      </c>
      <c r="B222" s="2">
        <v>46000</v>
      </c>
      <c r="C222" t="s">
        <v>11</v>
      </c>
      <c r="D222" t="s">
        <v>18</v>
      </c>
      <c r="E222" t="s">
        <v>23</v>
      </c>
      <c r="F222" t="s">
        <v>87</v>
      </c>
      <c r="G222" s="3">
        <v>38.799999999999997</v>
      </c>
      <c r="H222" t="s">
        <v>30</v>
      </c>
      <c r="I222" t="s">
        <v>26</v>
      </c>
      <c r="J222" s="3">
        <v>117421.98</v>
      </c>
    </row>
    <row r="223" spans="1:10" x14ac:dyDescent="0.3">
      <c r="A223" t="s">
        <v>295</v>
      </c>
      <c r="B223" s="2">
        <v>46001</v>
      </c>
      <c r="C223" t="s">
        <v>36</v>
      </c>
      <c r="D223" t="s">
        <v>18</v>
      </c>
      <c r="E223" t="s">
        <v>43</v>
      </c>
      <c r="F223" t="s">
        <v>222</v>
      </c>
      <c r="G223" s="3">
        <v>227.34</v>
      </c>
      <c r="H223" t="s">
        <v>21</v>
      </c>
      <c r="I223" t="s">
        <v>16</v>
      </c>
      <c r="J223" s="3">
        <v>117194.64</v>
      </c>
    </row>
    <row r="224" spans="1:10" x14ac:dyDescent="0.3">
      <c r="A224" t="s">
        <v>296</v>
      </c>
      <c r="B224" s="2">
        <v>46001</v>
      </c>
      <c r="C224" t="s">
        <v>36</v>
      </c>
      <c r="D224" t="s">
        <v>18</v>
      </c>
      <c r="E224" t="s">
        <v>23</v>
      </c>
      <c r="F224" t="s">
        <v>24</v>
      </c>
      <c r="G224" s="3">
        <v>42.67</v>
      </c>
      <c r="H224" t="s">
        <v>34</v>
      </c>
      <c r="I224" t="s">
        <v>26</v>
      </c>
      <c r="J224" s="3">
        <v>117151.97</v>
      </c>
    </row>
    <row r="225" spans="1:10" x14ac:dyDescent="0.3">
      <c r="A225" t="s">
        <v>297</v>
      </c>
      <c r="B225" s="2">
        <v>46001</v>
      </c>
      <c r="C225" t="s">
        <v>11</v>
      </c>
      <c r="D225" t="s">
        <v>18</v>
      </c>
      <c r="E225" t="s">
        <v>39</v>
      </c>
      <c r="F225" t="s">
        <v>64</v>
      </c>
      <c r="G225" s="3">
        <v>40.21</v>
      </c>
      <c r="H225" t="s">
        <v>30</v>
      </c>
      <c r="I225" t="s">
        <v>26</v>
      </c>
      <c r="J225" s="3">
        <v>117111.76</v>
      </c>
    </row>
    <row r="226" spans="1:10" x14ac:dyDescent="0.3">
      <c r="A226" t="s">
        <v>298</v>
      </c>
      <c r="B226" s="2">
        <v>46002</v>
      </c>
      <c r="C226" t="s">
        <v>11</v>
      </c>
      <c r="D226" t="s">
        <v>18</v>
      </c>
      <c r="E226" t="s">
        <v>23</v>
      </c>
      <c r="F226" t="s">
        <v>76</v>
      </c>
      <c r="G226" s="3">
        <v>36.65</v>
      </c>
      <c r="H226" t="s">
        <v>34</v>
      </c>
      <c r="I226" t="s">
        <v>26</v>
      </c>
      <c r="J226" s="3">
        <v>117075.11</v>
      </c>
    </row>
    <row r="227" spans="1:10" x14ac:dyDescent="0.3">
      <c r="A227" t="s">
        <v>299</v>
      </c>
      <c r="B227" s="2">
        <v>46003</v>
      </c>
      <c r="C227" t="s">
        <v>36</v>
      </c>
      <c r="D227" t="s">
        <v>18</v>
      </c>
      <c r="E227" t="s">
        <v>47</v>
      </c>
      <c r="F227" t="s">
        <v>60</v>
      </c>
      <c r="G227" s="3">
        <v>59</v>
      </c>
      <c r="H227" t="s">
        <v>30</v>
      </c>
      <c r="I227" t="s">
        <v>26</v>
      </c>
      <c r="J227" s="3">
        <v>117016.11</v>
      </c>
    </row>
    <row r="228" spans="1:10" x14ac:dyDescent="0.3">
      <c r="A228" t="s">
        <v>300</v>
      </c>
      <c r="B228" s="2">
        <v>46005</v>
      </c>
      <c r="C228" t="s">
        <v>11</v>
      </c>
      <c r="D228" t="s">
        <v>18</v>
      </c>
      <c r="E228" t="s">
        <v>28</v>
      </c>
      <c r="F228" t="s">
        <v>114</v>
      </c>
      <c r="G228" s="3">
        <v>134.05000000000001</v>
      </c>
      <c r="H228" t="s">
        <v>34</v>
      </c>
      <c r="I228" t="s">
        <v>26</v>
      </c>
      <c r="J228" s="3">
        <v>116882.06</v>
      </c>
    </row>
    <row r="229" spans="1:10" x14ac:dyDescent="0.3">
      <c r="A229" t="s">
        <v>301</v>
      </c>
      <c r="B229" s="2">
        <v>46005</v>
      </c>
      <c r="C229" t="s">
        <v>11</v>
      </c>
      <c r="D229" t="s">
        <v>18</v>
      </c>
      <c r="E229" t="s">
        <v>47</v>
      </c>
      <c r="F229" t="s">
        <v>60</v>
      </c>
      <c r="G229" s="3">
        <v>56</v>
      </c>
      <c r="H229" t="s">
        <v>34</v>
      </c>
      <c r="I229" t="s">
        <v>26</v>
      </c>
      <c r="J229" s="3">
        <v>116826.06</v>
      </c>
    </row>
    <row r="230" spans="1:10" x14ac:dyDescent="0.3">
      <c r="A230" t="s">
        <v>302</v>
      </c>
      <c r="B230" s="2">
        <v>46005</v>
      </c>
      <c r="C230" t="s">
        <v>11</v>
      </c>
      <c r="D230" t="s">
        <v>18</v>
      </c>
      <c r="E230" t="s">
        <v>39</v>
      </c>
      <c r="F230" t="s">
        <v>89</v>
      </c>
      <c r="G230" s="3">
        <v>54.91</v>
      </c>
      <c r="H230" t="s">
        <v>34</v>
      </c>
      <c r="I230" t="s">
        <v>26</v>
      </c>
      <c r="J230" s="3">
        <v>116771.15</v>
      </c>
    </row>
    <row r="231" spans="1:10" x14ac:dyDescent="0.3">
      <c r="A231" t="s">
        <v>303</v>
      </c>
      <c r="B231" s="2">
        <v>46006</v>
      </c>
      <c r="C231" t="s">
        <v>11</v>
      </c>
      <c r="D231" t="s">
        <v>12</v>
      </c>
      <c r="E231" t="s">
        <v>13</v>
      </c>
      <c r="F231" t="s">
        <v>221</v>
      </c>
      <c r="G231" s="3">
        <v>4894.96</v>
      </c>
      <c r="H231" t="s">
        <v>15</v>
      </c>
      <c r="I231" t="s">
        <v>16</v>
      </c>
      <c r="J231" s="3">
        <v>121666.11</v>
      </c>
    </row>
    <row r="232" spans="1:10" x14ac:dyDescent="0.3">
      <c r="A232" t="s">
        <v>304</v>
      </c>
      <c r="B232" s="2">
        <v>46007</v>
      </c>
      <c r="C232" t="s">
        <v>11</v>
      </c>
      <c r="D232" t="s">
        <v>18</v>
      </c>
      <c r="E232" t="s">
        <v>47</v>
      </c>
      <c r="F232" t="s">
        <v>48</v>
      </c>
      <c r="G232" s="3">
        <v>41.52</v>
      </c>
      <c r="H232" t="s">
        <v>34</v>
      </c>
      <c r="I232" t="s">
        <v>26</v>
      </c>
      <c r="J232" s="3">
        <v>121624.59</v>
      </c>
    </row>
    <row r="233" spans="1:10" x14ac:dyDescent="0.3">
      <c r="A233" t="s">
        <v>305</v>
      </c>
      <c r="B233" s="2">
        <v>46008</v>
      </c>
      <c r="C233" t="s">
        <v>11</v>
      </c>
      <c r="D233" t="s">
        <v>18</v>
      </c>
      <c r="E233" t="s">
        <v>23</v>
      </c>
      <c r="F233" t="s">
        <v>54</v>
      </c>
      <c r="G233" s="3">
        <v>45.7</v>
      </c>
      <c r="H233" t="s">
        <v>34</v>
      </c>
      <c r="I233" t="s">
        <v>26</v>
      </c>
      <c r="J233" s="3">
        <v>121578.89</v>
      </c>
    </row>
    <row r="234" spans="1:10" x14ac:dyDescent="0.3">
      <c r="A234" t="s">
        <v>306</v>
      </c>
      <c r="B234" s="2">
        <v>46008</v>
      </c>
      <c r="C234" t="s">
        <v>36</v>
      </c>
      <c r="D234" t="s">
        <v>18</v>
      </c>
      <c r="E234" t="s">
        <v>47</v>
      </c>
      <c r="F234" t="s">
        <v>60</v>
      </c>
      <c r="G234" s="3">
        <v>26.57</v>
      </c>
      <c r="H234" t="s">
        <v>25</v>
      </c>
      <c r="I234" t="s">
        <v>26</v>
      </c>
      <c r="J234" s="3">
        <v>121552.32000000001</v>
      </c>
    </row>
    <row r="235" spans="1:10" x14ac:dyDescent="0.3">
      <c r="A235" t="s">
        <v>307</v>
      </c>
      <c r="B235" s="2">
        <v>46009</v>
      </c>
      <c r="C235" t="s">
        <v>11</v>
      </c>
      <c r="D235" t="s">
        <v>18</v>
      </c>
      <c r="E235" t="s">
        <v>28</v>
      </c>
      <c r="F235" t="s">
        <v>79</v>
      </c>
      <c r="G235" s="3">
        <v>171.77</v>
      </c>
      <c r="H235" t="s">
        <v>30</v>
      </c>
      <c r="I235" t="s">
        <v>26</v>
      </c>
      <c r="J235" s="3">
        <v>121380.55</v>
      </c>
    </row>
    <row r="236" spans="1:10" x14ac:dyDescent="0.3">
      <c r="A236" t="s">
        <v>308</v>
      </c>
      <c r="B236" s="2">
        <v>46010</v>
      </c>
      <c r="C236" t="s">
        <v>36</v>
      </c>
      <c r="D236" t="s">
        <v>18</v>
      </c>
      <c r="E236" t="s">
        <v>47</v>
      </c>
      <c r="F236" t="s">
        <v>56</v>
      </c>
      <c r="G236" s="3">
        <v>28.58</v>
      </c>
      <c r="H236" t="s">
        <v>30</v>
      </c>
      <c r="I236" t="s">
        <v>26</v>
      </c>
      <c r="J236" s="3">
        <v>121351.97</v>
      </c>
    </row>
    <row r="237" spans="1:10" x14ac:dyDescent="0.3">
      <c r="A237" t="s">
        <v>309</v>
      </c>
      <c r="B237" s="2">
        <v>46011</v>
      </c>
      <c r="C237" t="s">
        <v>11</v>
      </c>
      <c r="D237" t="s">
        <v>18</v>
      </c>
      <c r="E237" t="s">
        <v>23</v>
      </c>
      <c r="F237" t="s">
        <v>76</v>
      </c>
      <c r="G237" s="3">
        <v>22.13</v>
      </c>
      <c r="H237" t="s">
        <v>25</v>
      </c>
      <c r="I237" t="s">
        <v>26</v>
      </c>
      <c r="J237" s="3">
        <v>121329.84</v>
      </c>
    </row>
    <row r="238" spans="1:10" x14ac:dyDescent="0.3">
      <c r="A238" t="s">
        <v>310</v>
      </c>
      <c r="B238" s="2">
        <v>46012</v>
      </c>
      <c r="C238" t="s">
        <v>11</v>
      </c>
      <c r="D238" t="s">
        <v>18</v>
      </c>
      <c r="E238" t="s">
        <v>23</v>
      </c>
      <c r="F238" t="s">
        <v>76</v>
      </c>
      <c r="G238" s="3">
        <v>70.55</v>
      </c>
      <c r="H238" t="s">
        <v>25</v>
      </c>
      <c r="I238" t="s">
        <v>26</v>
      </c>
      <c r="J238" s="3">
        <v>121259.29</v>
      </c>
    </row>
    <row r="239" spans="1:10" x14ac:dyDescent="0.3">
      <c r="A239" t="s">
        <v>311</v>
      </c>
      <c r="B239" s="2">
        <v>46012</v>
      </c>
      <c r="C239" t="s">
        <v>36</v>
      </c>
      <c r="D239" t="s">
        <v>18</v>
      </c>
      <c r="E239" t="s">
        <v>47</v>
      </c>
      <c r="F239" t="s">
        <v>91</v>
      </c>
      <c r="G239" s="3">
        <v>15.56</v>
      </c>
      <c r="H239" t="s">
        <v>30</v>
      </c>
      <c r="I239" t="s">
        <v>26</v>
      </c>
      <c r="J239" s="3">
        <v>121243.73</v>
      </c>
    </row>
    <row r="240" spans="1:10" x14ac:dyDescent="0.3">
      <c r="A240" t="s">
        <v>312</v>
      </c>
      <c r="B240" s="2">
        <v>46013</v>
      </c>
      <c r="C240" t="s">
        <v>36</v>
      </c>
      <c r="D240" t="s">
        <v>18</v>
      </c>
      <c r="E240" t="s">
        <v>23</v>
      </c>
      <c r="F240" t="s">
        <v>98</v>
      </c>
      <c r="G240" s="3">
        <v>68.099999999999994</v>
      </c>
      <c r="H240" t="s">
        <v>30</v>
      </c>
      <c r="I240" t="s">
        <v>26</v>
      </c>
      <c r="J240" s="3">
        <v>121175.63</v>
      </c>
    </row>
    <row r="241" spans="1:10" x14ac:dyDescent="0.3">
      <c r="A241" t="s">
        <v>313</v>
      </c>
      <c r="B241" s="2">
        <v>46014</v>
      </c>
      <c r="C241" t="s">
        <v>11</v>
      </c>
      <c r="D241" t="s">
        <v>18</v>
      </c>
      <c r="E241" t="s">
        <v>23</v>
      </c>
      <c r="F241" t="s">
        <v>37</v>
      </c>
      <c r="G241" s="3">
        <v>18.84</v>
      </c>
      <c r="H241" t="s">
        <v>25</v>
      </c>
      <c r="I241" t="s">
        <v>26</v>
      </c>
      <c r="J241" s="3">
        <v>121156.79</v>
      </c>
    </row>
    <row r="242" spans="1:10" x14ac:dyDescent="0.3">
      <c r="A242" t="s">
        <v>314</v>
      </c>
      <c r="B242" s="2">
        <v>46015</v>
      </c>
      <c r="C242" t="s">
        <v>36</v>
      </c>
      <c r="D242" t="s">
        <v>18</v>
      </c>
      <c r="E242" t="s">
        <v>28</v>
      </c>
      <c r="F242" t="s">
        <v>114</v>
      </c>
      <c r="G242" s="3">
        <v>46.62</v>
      </c>
      <c r="H242" t="s">
        <v>34</v>
      </c>
      <c r="I242" t="s">
        <v>26</v>
      </c>
      <c r="J242" s="3">
        <v>121110.17</v>
      </c>
    </row>
    <row r="243" spans="1:10" x14ac:dyDescent="0.3">
      <c r="A243" t="s">
        <v>315</v>
      </c>
      <c r="B243" s="2">
        <v>46015</v>
      </c>
      <c r="C243" t="s">
        <v>36</v>
      </c>
      <c r="D243" t="s">
        <v>18</v>
      </c>
      <c r="E243" t="s">
        <v>23</v>
      </c>
      <c r="F243" t="s">
        <v>37</v>
      </c>
      <c r="G243" s="3">
        <v>20.54</v>
      </c>
      <c r="H243" t="s">
        <v>25</v>
      </c>
      <c r="I243" t="s">
        <v>26</v>
      </c>
      <c r="J243" s="3">
        <v>121089.63</v>
      </c>
    </row>
    <row r="244" spans="1:10" x14ac:dyDescent="0.3">
      <c r="A244" t="s">
        <v>316</v>
      </c>
      <c r="B244" s="2">
        <v>46016</v>
      </c>
      <c r="C244" t="s">
        <v>11</v>
      </c>
      <c r="D244" t="s">
        <v>18</v>
      </c>
      <c r="E244" t="s">
        <v>23</v>
      </c>
      <c r="F244" t="s">
        <v>76</v>
      </c>
      <c r="G244" s="3">
        <v>15.37</v>
      </c>
      <c r="H244" t="s">
        <v>30</v>
      </c>
      <c r="I244" t="s">
        <v>26</v>
      </c>
      <c r="J244" s="3">
        <v>121074.26</v>
      </c>
    </row>
    <row r="245" spans="1:10" x14ac:dyDescent="0.3">
      <c r="A245" t="s">
        <v>317</v>
      </c>
      <c r="B245" s="2">
        <v>46017</v>
      </c>
      <c r="C245" t="s">
        <v>11</v>
      </c>
      <c r="D245" t="s">
        <v>18</v>
      </c>
      <c r="E245" t="s">
        <v>47</v>
      </c>
      <c r="F245" t="s">
        <v>48</v>
      </c>
      <c r="G245" s="3">
        <v>46.4</v>
      </c>
      <c r="H245" t="s">
        <v>30</v>
      </c>
      <c r="I245" t="s">
        <v>26</v>
      </c>
      <c r="J245" s="3">
        <v>121027.86</v>
      </c>
    </row>
    <row r="246" spans="1:10" x14ac:dyDescent="0.3">
      <c r="A246" t="s">
        <v>318</v>
      </c>
      <c r="B246" s="2">
        <v>46019</v>
      </c>
      <c r="C246" t="s">
        <v>11</v>
      </c>
      <c r="D246" t="s">
        <v>18</v>
      </c>
      <c r="E246" t="s">
        <v>47</v>
      </c>
      <c r="F246" t="s">
        <v>69</v>
      </c>
      <c r="G246" s="3">
        <v>29</v>
      </c>
      <c r="H246" t="s">
        <v>30</v>
      </c>
      <c r="I246" t="s">
        <v>26</v>
      </c>
      <c r="J246" s="3">
        <v>120998.86</v>
      </c>
    </row>
    <row r="247" spans="1:10" x14ac:dyDescent="0.3">
      <c r="A247" t="s">
        <v>319</v>
      </c>
      <c r="B247" s="2">
        <v>46020</v>
      </c>
      <c r="C247" t="s">
        <v>11</v>
      </c>
      <c r="D247" t="s">
        <v>18</v>
      </c>
      <c r="E247" t="s">
        <v>28</v>
      </c>
      <c r="F247" t="s">
        <v>52</v>
      </c>
      <c r="G247" s="3">
        <v>177.3</v>
      </c>
      <c r="H247" t="s">
        <v>30</v>
      </c>
      <c r="I247" t="s">
        <v>26</v>
      </c>
      <c r="J247" s="3">
        <v>120821.56</v>
      </c>
    </row>
    <row r="248" spans="1:10" x14ac:dyDescent="0.3">
      <c r="A248" t="s">
        <v>320</v>
      </c>
      <c r="B248" s="2">
        <v>46021</v>
      </c>
      <c r="C248" t="s">
        <v>36</v>
      </c>
      <c r="D248" t="s">
        <v>18</v>
      </c>
      <c r="E248" t="s">
        <v>23</v>
      </c>
      <c r="F248" t="s">
        <v>124</v>
      </c>
      <c r="G248" s="3">
        <v>68.02</v>
      </c>
      <c r="H248" t="s">
        <v>34</v>
      </c>
      <c r="I248" t="s">
        <v>26</v>
      </c>
      <c r="J248" s="3">
        <v>120753.54</v>
      </c>
    </row>
  </sheetData>
  <autoFilter ref="A1:J248" xr:uid="{72B63F4B-F4A9-43C7-8D52-AC8151CD6D46}"/>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Bansal</dc:creator>
  <cp:lastModifiedBy>Lingampally Jayavardhan</cp:lastModifiedBy>
  <dcterms:created xsi:type="dcterms:W3CDTF">2026-03-11T02:30:26Z</dcterms:created>
  <dcterms:modified xsi:type="dcterms:W3CDTF">2026-05-11T12:38:45Z</dcterms:modified>
</cp:coreProperties>
</file>